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Analisis de sensibilidad" sheetId="2" r:id="rId5"/>
    <sheet state="visible" name="Cuantificaciòn de necesidades" sheetId="3" r:id="rId6"/>
  </sheets>
  <definedNames/>
  <calcPr/>
</workbook>
</file>

<file path=xl/sharedStrings.xml><?xml version="1.0" encoding="utf-8"?>
<sst xmlns="http://schemas.openxmlformats.org/spreadsheetml/2006/main" count="307" uniqueCount="73">
  <si>
    <t>Ingresos</t>
  </si>
  <si>
    <t>70 tortas mensuales</t>
  </si>
  <si>
    <t>Año 1</t>
  </si>
  <si>
    <t>Año 2</t>
  </si>
  <si>
    <t>Año 3</t>
  </si>
  <si>
    <t>Año 4</t>
  </si>
  <si>
    <t>Precio de venta: aumento 15% anual</t>
  </si>
  <si>
    <t>Cantidades Vendidas</t>
  </si>
  <si>
    <t>Precio de Venta</t>
  </si>
  <si>
    <t>Total Ingreso</t>
  </si>
  <si>
    <t>Egresos</t>
  </si>
  <si>
    <t>Alquiler</t>
  </si>
  <si>
    <t>Proveedores/Servicios</t>
  </si>
  <si>
    <t>Sueldos</t>
  </si>
  <si>
    <t>Total Egresos anuales</t>
  </si>
  <si>
    <t>II</t>
  </si>
  <si>
    <t>UAIT</t>
  </si>
  <si>
    <t>Amortizaciones</t>
  </si>
  <si>
    <t>Base imponible</t>
  </si>
  <si>
    <t>IIGG</t>
  </si>
  <si>
    <t>Capital de trabajo</t>
  </si>
  <si>
    <t>FFON</t>
  </si>
  <si>
    <t>Capital</t>
  </si>
  <si>
    <t>Cuota de amortización</t>
  </si>
  <si>
    <t>Cuota de interés</t>
  </si>
  <si>
    <t>Efecto impositivo</t>
  </si>
  <si>
    <t>FFFN</t>
  </si>
  <si>
    <t>FFO y FFFN</t>
  </si>
  <si>
    <t>FFD</t>
  </si>
  <si>
    <t>VAN</t>
  </si>
  <si>
    <t>TIR</t>
  </si>
  <si>
    <t>PRD</t>
  </si>
  <si>
    <t xml:space="preserve">1 año, 7 meses y 11 dias </t>
  </si>
  <si>
    <t>Periodo</t>
  </si>
  <si>
    <t>Deuda al Inicio</t>
  </si>
  <si>
    <t>C.de Amortiz.</t>
  </si>
  <si>
    <t>C. de Interes</t>
  </si>
  <si>
    <t xml:space="preserve">C. Total </t>
  </si>
  <si>
    <t>D. al cierre</t>
  </si>
  <si>
    <t>Flujo de fondo original</t>
  </si>
  <si>
    <t>Año 0</t>
  </si>
  <si>
    <t>Variacion de los Egresos 10% aumento en Sueldos</t>
  </si>
  <si>
    <t>Egresos +10% Sueldos</t>
  </si>
  <si>
    <t>Egresos - 10% Sueldos</t>
  </si>
  <si>
    <t>Variación</t>
  </si>
  <si>
    <t>Aumento 10%</t>
  </si>
  <si>
    <t>?</t>
  </si>
  <si>
    <t>Inicial</t>
  </si>
  <si>
    <t>Disminución 10%</t>
  </si>
  <si>
    <t>Variación del VAN</t>
  </si>
  <si>
    <t>Variacion disminucion 10% proveedores</t>
  </si>
  <si>
    <t>variacion aumento 10% proveedores</t>
  </si>
  <si>
    <t>Variacion de Ke, aumento un 10%</t>
  </si>
  <si>
    <t>Variación de Ke disminución de un 10%</t>
  </si>
  <si>
    <t>Conclusiones:</t>
  </si>
  <si>
    <t>CV (Sueldos)</t>
  </si>
  <si>
    <t>CV (Proveedores)</t>
  </si>
  <si>
    <t>Ke</t>
  </si>
  <si>
    <t>Base</t>
  </si>
  <si>
    <t>-10%%</t>
  </si>
  <si>
    <t xml:space="preserve">Variacion en los Ingresos, aumento un 10% </t>
  </si>
  <si>
    <t>Total Ingresos</t>
  </si>
  <si>
    <t>Ingresos -10%</t>
  </si>
  <si>
    <t>Variaciòn de los ingresos disminuciòn de 10%</t>
  </si>
  <si>
    <t>Costo</t>
  </si>
  <si>
    <t>Unidades</t>
  </si>
  <si>
    <t>Compras</t>
  </si>
  <si>
    <t>Dias de cobro</t>
  </si>
  <si>
    <t>CCE:</t>
  </si>
  <si>
    <t>Stock inventario</t>
  </si>
  <si>
    <t>dias</t>
  </si>
  <si>
    <t>Dias de pago</t>
  </si>
  <si>
    <t>Necesidad de Capital de trabajo: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</si>
</sst>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0" fontId="3" numFmtId="0" xfId="0" applyAlignment="1" applyBorder="1" applyFont="1">
      <alignment horizontal="left" vertical="bottom"/>
    </xf>
    <xf borderId="5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right" readingOrder="0" vertical="bottom"/>
    </xf>
    <xf borderId="0" fillId="0" fontId="3" numFmtId="10" xfId="0" applyFont="1" applyNumberFormat="1"/>
    <xf borderId="0" fillId="0" fontId="3" numFmtId="10" xfId="0" applyAlignment="1" applyFont="1" applyNumberFormat="1">
      <alignment readingOrder="0"/>
    </xf>
    <xf borderId="5" fillId="0" fontId="1" numFmtId="164" xfId="0" applyAlignment="1" applyBorder="1" applyFont="1" applyNumberFormat="1">
      <alignment horizontal="right" readingOrder="0" vertical="bottom"/>
    </xf>
    <xf borderId="6" fillId="0" fontId="1" numFmtId="164" xfId="0" applyAlignment="1" applyBorder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5" fillId="0" fontId="1" numFmtId="4" xfId="0" applyAlignment="1" applyBorder="1" applyFont="1" applyNumberFormat="1">
      <alignment horizontal="right" readingOrder="0" vertical="bottom"/>
    </xf>
    <xf borderId="0" fillId="0" fontId="3" numFmtId="0" xfId="0" applyFont="1"/>
    <xf borderId="0" fillId="0" fontId="3" numFmtId="164" xfId="0" applyFont="1" applyNumberFormat="1"/>
    <xf borderId="6" fillId="0" fontId="3" numFmtId="0" xfId="0" applyBorder="1" applyFont="1"/>
    <xf borderId="6" fillId="0" fontId="4" numFmtId="0" xfId="0" applyAlignment="1" applyBorder="1" applyFont="1">
      <alignment readingOrder="0"/>
    </xf>
    <xf borderId="4" fillId="0" fontId="1" numFmtId="0" xfId="0" applyAlignment="1" applyBorder="1" applyFont="1">
      <alignment readingOrder="0" vertical="bottom"/>
    </xf>
    <xf borderId="6" fillId="0" fontId="0" numFmtId="165" xfId="0" applyAlignment="1" applyBorder="1" applyFont="1" applyNumberFormat="1">
      <alignment readingOrder="0"/>
    </xf>
    <xf borderId="6" fillId="0" fontId="3" numFmtId="165" xfId="0" applyBorder="1" applyFont="1" applyNumberFormat="1"/>
    <xf borderId="4" fillId="0" fontId="5" numFmtId="0" xfId="0" applyAlignment="1" applyBorder="1" applyFont="1">
      <alignment readingOrder="0" vertical="bottom"/>
    </xf>
    <xf borderId="6" fillId="0" fontId="4" numFmtId="165" xfId="0" applyBorder="1" applyFont="1" applyNumberFormat="1"/>
    <xf borderId="6" fillId="0" fontId="3" numFmtId="165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5" fillId="0" fontId="3" numFmtId="9" xfId="0" applyBorder="1" applyFont="1" applyNumberFormat="1"/>
    <xf borderId="6" fillId="0" fontId="3" numFmtId="164" xfId="0" applyBorder="1" applyFont="1" applyNumberFormat="1"/>
    <xf borderId="6" fillId="0" fontId="3" numFmtId="164" xfId="0" applyAlignment="1" applyBorder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6" fillId="0" fontId="3" numFmtId="4" xfId="0" applyBorder="1" applyFont="1" applyNumberFormat="1"/>
    <xf borderId="0" fillId="0" fontId="3" numFmtId="9" xfId="0" applyFont="1" applyNumberFormat="1"/>
    <xf borderId="6" fillId="2" fontId="3" numFmtId="0" xfId="0" applyAlignment="1" applyBorder="1" applyFill="1" applyFont="1">
      <alignment readingOrder="0"/>
    </xf>
    <xf borderId="6" fillId="2" fontId="3" numFmtId="165" xfId="0" applyBorder="1" applyFont="1" applyNumberFormat="1"/>
    <xf borderId="4" fillId="2" fontId="1" numFmtId="0" xfId="0" applyAlignment="1" applyBorder="1" applyFont="1">
      <alignment horizontal="left" readingOrder="0" vertical="bottom"/>
    </xf>
    <xf borderId="5" fillId="2" fontId="1" numFmtId="164" xfId="0" applyAlignment="1" applyBorder="1" applyFont="1" applyNumberFormat="1">
      <alignment horizontal="right" readingOrder="0" vertical="bottom"/>
    </xf>
    <xf borderId="0" fillId="0" fontId="3" numFmtId="165" xfId="0" applyFont="1" applyNumberFormat="1"/>
    <xf borderId="6" fillId="2" fontId="3" numFmtId="165" xfId="0" applyAlignment="1" applyBorder="1" applyFont="1" applyNumberFormat="1">
      <alignment readingOrder="0"/>
    </xf>
    <xf borderId="6" fillId="0" fontId="5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6" fillId="0" fontId="1" numFmtId="4" xfId="0" applyAlignment="1" applyBorder="1" applyFont="1" applyNumberFormat="1">
      <alignment horizontal="right" readingOrder="0" vertical="bottom"/>
    </xf>
    <xf borderId="6" fillId="0" fontId="1" numFmtId="9" xfId="0" applyAlignment="1" applyBorder="1" applyFont="1" applyNumberFormat="1">
      <alignment horizontal="right" readingOrder="0" vertical="bottom"/>
    </xf>
    <xf borderId="6" fillId="0" fontId="1" numFmtId="0" xfId="0" applyAlignment="1" applyBorder="1" applyFont="1">
      <alignment horizontal="right" readingOrder="0" vertical="bottom"/>
    </xf>
    <xf borderId="6" fillId="0" fontId="5" numFmtId="4" xfId="0" applyAlignment="1" applyBorder="1" applyFont="1" applyNumberFormat="1">
      <alignment horizontal="right" readingOrder="0" vertical="bottom"/>
    </xf>
    <xf borderId="6" fillId="0" fontId="3" numFmtId="9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2" fontId="3" numFmtId="164" xfId="0" applyAlignment="1" applyBorder="1" applyFont="1" applyNumberFormat="1">
      <alignment readingOrder="0"/>
    </xf>
    <xf borderId="6" fillId="2" fontId="4" numFmtId="0" xfId="0" applyAlignment="1" applyBorder="1" applyFont="1">
      <alignment readingOrder="0"/>
    </xf>
    <xf borderId="6" fillId="2" fontId="4" numFmtId="165" xfId="0" applyAlignment="1" applyBorder="1" applyFont="1" applyNumberFormat="1">
      <alignment readingOrder="0"/>
    </xf>
    <xf borderId="6" fillId="2" fontId="4" numFmtId="165" xfId="0" applyBorder="1" applyFont="1" applyNumberFormat="1"/>
    <xf borderId="6" fillId="0" fontId="4" numFmtId="0" xfId="0" applyAlignment="1" applyBorder="1" applyFont="1">
      <alignment horizontal="center" readingOrder="0"/>
    </xf>
    <xf borderId="6" fillId="0" fontId="4" numFmtId="9" xfId="0" applyAlignment="1" applyBorder="1" applyFont="1" applyNumberFormat="1">
      <alignment horizontal="center" readingOrder="0"/>
    </xf>
    <xf borderId="6" fillId="0" fontId="3" numFmtId="9" xfId="0" applyBorder="1" applyFont="1" applyNumberFormat="1"/>
    <xf borderId="6" fillId="0" fontId="3" numFmtId="10" xfId="0" applyBorder="1" applyFont="1" applyNumberFormat="1"/>
    <xf borderId="6" fillId="0" fontId="4" numFmtId="9" xfId="0" applyBorder="1" applyFont="1" applyNumberFormat="1"/>
    <xf borderId="6" fillId="0" fontId="3" numFmtId="9" xfId="0" applyAlignment="1" applyBorder="1" applyFont="1" applyNumberFormat="1">
      <alignment readingOrder="0"/>
    </xf>
    <xf borderId="6" fillId="0" fontId="3" numFmtId="3" xfId="0" applyAlignment="1" applyBorder="1" applyFont="1" applyNumberFormat="1">
      <alignment readingOrder="0"/>
    </xf>
    <xf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3.5"/>
    <col customWidth="1" min="4" max="5" width="12.63"/>
  </cols>
  <sheetData>
    <row r="2">
      <c r="A2" s="1" t="s">
        <v>0</v>
      </c>
      <c r="B2" s="2"/>
      <c r="C2" s="2"/>
      <c r="D2" s="2"/>
      <c r="E2" s="3"/>
      <c r="G2" s="4" t="s">
        <v>1</v>
      </c>
    </row>
    <row r="3">
      <c r="A3" s="5"/>
      <c r="B3" s="6" t="s">
        <v>2</v>
      </c>
      <c r="C3" s="6" t="s">
        <v>3</v>
      </c>
      <c r="D3" s="6" t="s">
        <v>4</v>
      </c>
      <c r="E3" s="6" t="s">
        <v>5</v>
      </c>
      <c r="G3" s="4" t="s">
        <v>6</v>
      </c>
    </row>
    <row r="4">
      <c r="A4" s="7" t="s">
        <v>7</v>
      </c>
      <c r="B4" s="8">
        <v>840.0</v>
      </c>
      <c r="C4" s="8">
        <v>900.0</v>
      </c>
      <c r="D4" s="8">
        <v>960.0</v>
      </c>
      <c r="E4" s="8">
        <v>1150.0</v>
      </c>
      <c r="F4" s="9"/>
      <c r="G4" s="10">
        <v>0.6</v>
      </c>
    </row>
    <row r="5">
      <c r="A5" s="7" t="s">
        <v>8</v>
      </c>
      <c r="B5" s="11">
        <v>35000.0</v>
      </c>
      <c r="C5" s="11">
        <f t="shared" ref="C5:E5" si="1">(B5*(1+$G$4))</f>
        <v>56000</v>
      </c>
      <c r="D5" s="11">
        <f t="shared" si="1"/>
        <v>89600</v>
      </c>
      <c r="E5" s="12">
        <f t="shared" si="1"/>
        <v>143360</v>
      </c>
      <c r="F5" s="13"/>
    </row>
    <row r="6">
      <c r="A6" s="7" t="s">
        <v>9</v>
      </c>
      <c r="B6" s="14">
        <f t="shared" ref="B6:E6" si="2">(B4*B5)</f>
        <v>29400000</v>
      </c>
      <c r="C6" s="14">
        <f t="shared" si="2"/>
        <v>50400000</v>
      </c>
      <c r="D6" s="14">
        <f t="shared" si="2"/>
        <v>86016000</v>
      </c>
      <c r="E6" s="14">
        <f t="shared" si="2"/>
        <v>164864000</v>
      </c>
    </row>
    <row r="9">
      <c r="A9" s="1" t="s">
        <v>10</v>
      </c>
      <c r="B9" s="2"/>
      <c r="C9" s="2"/>
      <c r="D9" s="2"/>
      <c r="E9" s="3"/>
    </row>
    <row r="10">
      <c r="A10" s="5"/>
      <c r="B10" s="6" t="s">
        <v>2</v>
      </c>
      <c r="C10" s="6" t="s">
        <v>3</v>
      </c>
      <c r="D10" s="6" t="s">
        <v>4</v>
      </c>
      <c r="E10" s="6" t="s">
        <v>5</v>
      </c>
      <c r="G10" s="15">
        <f>(455000*12)</f>
        <v>5460000</v>
      </c>
    </row>
    <row r="11">
      <c r="A11" s="7" t="s">
        <v>11</v>
      </c>
      <c r="B11" s="11">
        <f t="shared" ref="B11:E11" si="3">-$G$10</f>
        <v>-5460000</v>
      </c>
      <c r="C11" s="11">
        <f t="shared" si="3"/>
        <v>-5460000</v>
      </c>
      <c r="D11" s="11">
        <f t="shared" si="3"/>
        <v>-5460000</v>
      </c>
      <c r="E11" s="11">
        <f t="shared" si="3"/>
        <v>-5460000</v>
      </c>
    </row>
    <row r="12">
      <c r="A12" s="7" t="s">
        <v>12</v>
      </c>
      <c r="B12" s="11">
        <v>-300000.0</v>
      </c>
      <c r="C12" s="11">
        <v>-400000.0</v>
      </c>
      <c r="D12" s="11">
        <v>-400000.0</v>
      </c>
      <c r="E12" s="11">
        <v>-400000.0</v>
      </c>
    </row>
    <row r="13">
      <c r="A13" s="7" t="s">
        <v>13</v>
      </c>
      <c r="B13" s="11">
        <f>-(G13)</f>
        <v>-1500000</v>
      </c>
      <c r="C13" s="11">
        <f t="shared" ref="C13:E13" si="4">(B13*(1+$H$13))</f>
        <v>-2100000</v>
      </c>
      <c r="D13" s="11">
        <f t="shared" si="4"/>
        <v>-2940000</v>
      </c>
      <c r="E13" s="12">
        <f t="shared" si="4"/>
        <v>-4116000</v>
      </c>
      <c r="F13" s="13"/>
      <c r="G13" s="16">
        <f>(500000+600000+400000)</f>
        <v>1500000</v>
      </c>
      <c r="H13" s="10">
        <v>0.4</v>
      </c>
    </row>
    <row r="14">
      <c r="A14" s="7" t="s">
        <v>14</v>
      </c>
      <c r="B14" s="11">
        <f t="shared" ref="B14:E14" si="5">SUM(B11:B13)</f>
        <v>-7260000</v>
      </c>
      <c r="C14" s="11">
        <f t="shared" si="5"/>
        <v>-7960000</v>
      </c>
      <c r="D14" s="11">
        <f t="shared" si="5"/>
        <v>-8800000</v>
      </c>
      <c r="E14" s="11">
        <f t="shared" si="5"/>
        <v>-9976000</v>
      </c>
    </row>
    <row r="17">
      <c r="A17" s="17"/>
      <c r="B17" s="18">
        <v>0.0</v>
      </c>
      <c r="C17" s="18">
        <v>1.0</v>
      </c>
      <c r="D17" s="18">
        <v>2.0</v>
      </c>
      <c r="E17" s="18">
        <v>3.0</v>
      </c>
      <c r="F17" s="18">
        <v>4.0</v>
      </c>
    </row>
    <row r="18">
      <c r="A18" s="19" t="s">
        <v>15</v>
      </c>
      <c r="B18" s="20">
        <v>-5390000.0</v>
      </c>
      <c r="C18" s="21"/>
      <c r="D18" s="21"/>
      <c r="E18" s="21"/>
      <c r="F18" s="21"/>
    </row>
    <row r="19">
      <c r="A19" s="19" t="s">
        <v>0</v>
      </c>
      <c r="B19" s="21"/>
      <c r="C19" s="21">
        <f t="shared" ref="C19:F19" si="6">(B6)</f>
        <v>29400000</v>
      </c>
      <c r="D19" s="21">
        <f t="shared" si="6"/>
        <v>50400000</v>
      </c>
      <c r="E19" s="21">
        <f t="shared" si="6"/>
        <v>86016000</v>
      </c>
      <c r="F19" s="21">
        <f t="shared" si="6"/>
        <v>164864000</v>
      </c>
      <c r="H19" s="4">
        <v>5390000.0</v>
      </c>
      <c r="I19" s="4">
        <v>4.0</v>
      </c>
      <c r="J19" s="15">
        <f>-(H19/I19)</f>
        <v>-1347500</v>
      </c>
    </row>
    <row r="20">
      <c r="A20" s="19" t="s">
        <v>10</v>
      </c>
      <c r="B20" s="21"/>
      <c r="C20" s="21">
        <f t="shared" ref="C20:F20" si="7">(B14)</f>
        <v>-7260000</v>
      </c>
      <c r="D20" s="21">
        <f t="shared" si="7"/>
        <v>-7960000</v>
      </c>
      <c r="E20" s="21">
        <f t="shared" si="7"/>
        <v>-8800000</v>
      </c>
      <c r="F20" s="21">
        <f t="shared" si="7"/>
        <v>-9976000</v>
      </c>
    </row>
    <row r="21">
      <c r="A21" s="22" t="s">
        <v>16</v>
      </c>
      <c r="B21" s="23"/>
      <c r="C21" s="23">
        <f t="shared" ref="C21:F21" si="8">(C19+C20)</f>
        <v>22140000</v>
      </c>
      <c r="D21" s="23">
        <f t="shared" si="8"/>
        <v>42440000</v>
      </c>
      <c r="E21" s="23">
        <f t="shared" si="8"/>
        <v>77216000</v>
      </c>
      <c r="F21" s="23">
        <f t="shared" si="8"/>
        <v>154888000</v>
      </c>
      <c r="H21" s="10">
        <v>0.35</v>
      </c>
    </row>
    <row r="22">
      <c r="A22" s="19" t="s">
        <v>17</v>
      </c>
      <c r="B22" s="21"/>
      <c r="C22" s="21">
        <f>(J19)</f>
        <v>-1347500</v>
      </c>
      <c r="D22" s="21">
        <f>(J19)</f>
        <v>-1347500</v>
      </c>
      <c r="E22" s="21">
        <f>(J19)</f>
        <v>-1347500</v>
      </c>
      <c r="F22" s="21">
        <f>(J19)</f>
        <v>-1347500</v>
      </c>
    </row>
    <row r="23">
      <c r="A23" s="22" t="s">
        <v>18</v>
      </c>
      <c r="B23" s="23"/>
      <c r="C23" s="23">
        <f t="shared" ref="C23:F23" si="9">(C21+C22)</f>
        <v>20792500</v>
      </c>
      <c r="D23" s="23">
        <f t="shared" si="9"/>
        <v>41092500</v>
      </c>
      <c r="E23" s="23">
        <f t="shared" si="9"/>
        <v>75868500</v>
      </c>
      <c r="F23" s="23">
        <f t="shared" si="9"/>
        <v>153540500</v>
      </c>
    </row>
    <row r="24">
      <c r="A24" s="19" t="s">
        <v>19</v>
      </c>
      <c r="B24" s="21"/>
      <c r="C24" s="21">
        <f t="shared" ref="C24:F24" si="10">-(C23*$H$21)</f>
        <v>-7277375</v>
      </c>
      <c r="D24" s="21">
        <f t="shared" si="10"/>
        <v>-14382375</v>
      </c>
      <c r="E24" s="21">
        <f t="shared" si="10"/>
        <v>-26553975</v>
      </c>
      <c r="F24" s="21">
        <f t="shared" si="10"/>
        <v>-53739175</v>
      </c>
    </row>
    <row r="25">
      <c r="A25" s="19" t="s">
        <v>17</v>
      </c>
      <c r="B25" s="21"/>
      <c r="C25" s="21">
        <f t="shared" ref="C25:F25" si="11">-($J$19)</f>
        <v>1347500</v>
      </c>
      <c r="D25" s="21">
        <f t="shared" si="11"/>
        <v>1347500</v>
      </c>
      <c r="E25" s="21">
        <f t="shared" si="11"/>
        <v>1347500</v>
      </c>
      <c r="F25" s="21">
        <f t="shared" si="11"/>
        <v>1347500</v>
      </c>
    </row>
    <row r="26">
      <c r="A26" s="19" t="s">
        <v>20</v>
      </c>
      <c r="B26" s="24">
        <v>-1310000.0</v>
      </c>
      <c r="C26" s="21"/>
      <c r="D26" s="21"/>
      <c r="E26" s="21"/>
      <c r="F26" s="21">
        <f>(1310000)</f>
        <v>1310000</v>
      </c>
    </row>
    <row r="27">
      <c r="A27" s="22" t="s">
        <v>21</v>
      </c>
      <c r="B27" s="23"/>
      <c r="C27" s="23">
        <f t="shared" ref="C27:F27" si="12">(C23+C24+C25+C26)</f>
        <v>14862625</v>
      </c>
      <c r="D27" s="23">
        <f t="shared" si="12"/>
        <v>28057625</v>
      </c>
      <c r="E27" s="23">
        <f t="shared" si="12"/>
        <v>50662025</v>
      </c>
      <c r="F27" s="23">
        <f t="shared" si="12"/>
        <v>102458825</v>
      </c>
    </row>
    <row r="28">
      <c r="A28" s="19" t="s">
        <v>22</v>
      </c>
      <c r="B28" s="21">
        <f>(B41)</f>
        <v>2156000</v>
      </c>
      <c r="C28" s="21"/>
      <c r="D28" s="21"/>
      <c r="E28" s="21"/>
      <c r="F28" s="21"/>
    </row>
    <row r="29">
      <c r="A29" s="19" t="s">
        <v>23</v>
      </c>
      <c r="B29" s="21"/>
      <c r="C29" s="21">
        <f>-(C41)</f>
        <v>-248490.8732</v>
      </c>
      <c r="D29" s="21">
        <f>-C42</f>
        <v>-385160.8535</v>
      </c>
      <c r="E29" s="21">
        <f>-C43</f>
        <v>-596999.3229</v>
      </c>
      <c r="F29" s="21">
        <f>-C44</f>
        <v>-925348.9505</v>
      </c>
    </row>
    <row r="30">
      <c r="A30" s="19" t="s">
        <v>24</v>
      </c>
      <c r="B30" s="21"/>
      <c r="C30" s="21">
        <f>-(D41)</f>
        <v>-1185800</v>
      </c>
      <c r="D30" s="21">
        <f>-D43</f>
        <v>-837291.5503</v>
      </c>
      <c r="E30" s="21">
        <f>-D43</f>
        <v>-837291.5503</v>
      </c>
      <c r="F30" s="21">
        <f>-D44</f>
        <v>-508941.9227</v>
      </c>
    </row>
    <row r="31">
      <c r="A31" s="19" t="s">
        <v>25</v>
      </c>
      <c r="B31" s="21"/>
      <c r="C31" s="21">
        <f t="shared" ref="C31:F31" si="13">-(C30*$H$21)</f>
        <v>415030</v>
      </c>
      <c r="D31" s="21">
        <f t="shared" si="13"/>
        <v>293052.0426</v>
      </c>
      <c r="E31" s="21">
        <f t="shared" si="13"/>
        <v>293052.0426</v>
      </c>
      <c r="F31" s="21">
        <f t="shared" si="13"/>
        <v>178129.673</v>
      </c>
      <c r="G31" s="17"/>
    </row>
    <row r="32">
      <c r="A32" s="22" t="s">
        <v>26</v>
      </c>
      <c r="B32" s="23">
        <f>(B18+B28)</f>
        <v>-3234000</v>
      </c>
      <c r="C32" s="23">
        <f t="shared" ref="C32:F32" si="14">SUM(C29:C31)</f>
        <v>-1019260.873</v>
      </c>
      <c r="D32" s="23">
        <f t="shared" si="14"/>
        <v>-929400.3612</v>
      </c>
      <c r="E32" s="23">
        <f t="shared" si="14"/>
        <v>-1141238.831</v>
      </c>
      <c r="F32" s="23">
        <f t="shared" si="14"/>
        <v>-1256161.2</v>
      </c>
    </row>
    <row r="33">
      <c r="A33" s="22" t="s">
        <v>27</v>
      </c>
      <c r="B33" s="23">
        <f>(B32)</f>
        <v>-3234000</v>
      </c>
      <c r="C33" s="23">
        <f t="shared" ref="C33:F33" si="15">(C27+C32)</f>
        <v>13843364.13</v>
      </c>
      <c r="D33" s="23">
        <f t="shared" si="15"/>
        <v>27128224.64</v>
      </c>
      <c r="E33" s="23">
        <f t="shared" si="15"/>
        <v>49520786.17</v>
      </c>
      <c r="F33" s="23">
        <f t="shared" si="15"/>
        <v>101202663.8</v>
      </c>
    </row>
    <row r="34">
      <c r="A34" s="18" t="s">
        <v>28</v>
      </c>
      <c r="B34" s="23">
        <f>B33</f>
        <v>-3234000</v>
      </c>
      <c r="C34" s="23">
        <f t="shared" ref="C34:F34" si="16">C33/(1+$G$34)^C17</f>
        <v>8389917.653</v>
      </c>
      <c r="D34" s="23">
        <f t="shared" si="16"/>
        <v>9964453.495</v>
      </c>
      <c r="E34" s="23">
        <f t="shared" si="16"/>
        <v>11023910.99</v>
      </c>
      <c r="F34" s="23">
        <f t="shared" si="16"/>
        <v>13653882.69</v>
      </c>
      <c r="G34" s="10">
        <v>0.65</v>
      </c>
    </row>
    <row r="35">
      <c r="A35" s="25" t="s">
        <v>29</v>
      </c>
      <c r="B35" s="21">
        <f>(B34+C34+D34+E34+F34)</f>
        <v>39798164.83</v>
      </c>
    </row>
    <row r="36">
      <c r="A36" s="25" t="s">
        <v>30</v>
      </c>
      <c r="B36" s="26">
        <f>IRR(B34:F34)</f>
        <v>2.741785442</v>
      </c>
    </row>
    <row r="37">
      <c r="A37" s="25" t="s">
        <v>31</v>
      </c>
      <c r="B37" s="25" t="s">
        <v>32</v>
      </c>
    </row>
    <row r="38">
      <c r="A38" s="4"/>
      <c r="B38" s="4"/>
    </row>
    <row r="39">
      <c r="A39" s="4"/>
      <c r="B39" s="4"/>
      <c r="C39" s="4"/>
      <c r="D39" s="4"/>
      <c r="E39" s="4"/>
      <c r="F39" s="4"/>
    </row>
    <row r="40">
      <c r="A40" s="25" t="s">
        <v>33</v>
      </c>
      <c r="B40" s="25" t="s">
        <v>34</v>
      </c>
      <c r="C40" s="25" t="s">
        <v>35</v>
      </c>
      <c r="D40" s="25" t="s">
        <v>36</v>
      </c>
      <c r="E40" s="25" t="s">
        <v>37</v>
      </c>
      <c r="F40" s="25" t="s">
        <v>38</v>
      </c>
    </row>
    <row r="41">
      <c r="A41" s="25">
        <v>1.0</v>
      </c>
      <c r="B41" s="27">
        <f>(H42*I42)</f>
        <v>2156000</v>
      </c>
      <c r="C41" s="27">
        <f t="shared" ref="C41:C44" si="17">(E41-D41)</f>
        <v>248490.8732</v>
      </c>
      <c r="D41" s="27">
        <f t="shared" ref="D41:D44" si="18">(B41*$H$41)</f>
        <v>1185800</v>
      </c>
      <c r="E41" s="28">
        <f t="shared" ref="E41:E44" si="19">PMT($H$41,$H$45,-$B$41)</f>
        <v>1434290.873</v>
      </c>
      <c r="F41" s="27">
        <f>(B41-C41)</f>
        <v>1907509.127</v>
      </c>
      <c r="H41" s="29">
        <v>0.55</v>
      </c>
    </row>
    <row r="42">
      <c r="A42" s="25">
        <v>2.0</v>
      </c>
      <c r="B42" s="27">
        <f t="shared" ref="B42:B44" si="20">(F41)</f>
        <v>1907509.127</v>
      </c>
      <c r="C42" s="27">
        <f t="shared" si="17"/>
        <v>385160.8535</v>
      </c>
      <c r="D42" s="27">
        <f t="shared" si="18"/>
        <v>1049130.02</v>
      </c>
      <c r="E42" s="28">
        <f t="shared" si="19"/>
        <v>1434290.873</v>
      </c>
      <c r="F42" s="27">
        <f t="shared" ref="F42:F44" si="21">(F41-C42)</f>
        <v>1522348.273</v>
      </c>
      <c r="H42" s="30">
        <v>5390000.0</v>
      </c>
      <c r="I42" s="29">
        <v>0.4</v>
      </c>
    </row>
    <row r="43">
      <c r="A43" s="25">
        <v>3.0</v>
      </c>
      <c r="B43" s="27">
        <f t="shared" si="20"/>
        <v>1522348.273</v>
      </c>
      <c r="C43" s="27">
        <f t="shared" si="17"/>
        <v>596999.3229</v>
      </c>
      <c r="D43" s="27">
        <f t="shared" si="18"/>
        <v>837291.5503</v>
      </c>
      <c r="E43" s="28">
        <f t="shared" si="19"/>
        <v>1434290.873</v>
      </c>
      <c r="F43" s="27">
        <f t="shared" si="21"/>
        <v>925348.9505</v>
      </c>
      <c r="H43" s="30">
        <v>1355020.89</v>
      </c>
    </row>
    <row r="44">
      <c r="A44" s="25">
        <v>4.0</v>
      </c>
      <c r="B44" s="27">
        <f t="shared" si="20"/>
        <v>925348.9505</v>
      </c>
      <c r="C44" s="27">
        <f t="shared" si="17"/>
        <v>925348.9505</v>
      </c>
      <c r="D44" s="27">
        <f t="shared" si="18"/>
        <v>508941.9227</v>
      </c>
      <c r="E44" s="28">
        <f t="shared" si="19"/>
        <v>1434290.873</v>
      </c>
      <c r="F44" s="27">
        <f t="shared" si="21"/>
        <v>-0.0000000001164153218</v>
      </c>
    </row>
    <row r="45">
      <c r="E45" s="30"/>
      <c r="H45" s="4">
        <v>4.0</v>
      </c>
    </row>
  </sheetData>
  <mergeCells count="2">
    <mergeCell ref="A2:E2"/>
    <mergeCell ref="A9:E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3.5"/>
    <col customWidth="1" min="5" max="5" width="12.63"/>
    <col customWidth="1" min="6" max="6" width="13.5"/>
    <col customWidth="1" min="8" max="8" width="14.25"/>
    <col customWidth="1" min="10" max="10" width="15.38"/>
    <col customWidth="1" min="11" max="11" width="14.5"/>
  </cols>
  <sheetData>
    <row r="1">
      <c r="A1" s="31" t="s">
        <v>39</v>
      </c>
      <c r="B1" s="4"/>
      <c r="C1" s="4"/>
      <c r="D1" s="4"/>
      <c r="E1" s="4"/>
      <c r="F1" s="4"/>
    </row>
    <row r="2">
      <c r="A2" s="25"/>
      <c r="B2" s="25" t="s">
        <v>40</v>
      </c>
      <c r="C2" s="25">
        <v>1.0</v>
      </c>
      <c r="D2" s="25">
        <v>2.0</v>
      </c>
      <c r="E2" s="25">
        <v>3.0</v>
      </c>
      <c r="F2" s="25">
        <v>4.0</v>
      </c>
    </row>
    <row r="3">
      <c r="A3" s="25" t="s">
        <v>15</v>
      </c>
      <c r="B3" s="25">
        <v>-5390000.0</v>
      </c>
      <c r="C3" s="17"/>
      <c r="D3" s="17"/>
      <c r="E3" s="17"/>
      <c r="F3" s="17"/>
    </row>
    <row r="4">
      <c r="A4" s="25" t="s">
        <v>0</v>
      </c>
      <c r="B4" s="17"/>
      <c r="C4" s="32">
        <v>2.94E7</v>
      </c>
      <c r="D4" s="32">
        <v>5.04E7</v>
      </c>
      <c r="E4" s="32">
        <v>8.6016E7</v>
      </c>
      <c r="F4" s="32">
        <v>1.64864E8</v>
      </c>
    </row>
    <row r="5">
      <c r="A5" s="25" t="s">
        <v>10</v>
      </c>
      <c r="B5" s="17"/>
      <c r="C5" s="27">
        <v>-7260000.0</v>
      </c>
      <c r="D5" s="27">
        <v>-7960000.0</v>
      </c>
      <c r="E5" s="27">
        <v>-8800000.0</v>
      </c>
      <c r="F5" s="27">
        <v>-9976000.0</v>
      </c>
    </row>
    <row r="6">
      <c r="A6" s="25" t="s">
        <v>16</v>
      </c>
      <c r="B6" s="17"/>
      <c r="C6" s="32">
        <v>2.214E7</v>
      </c>
      <c r="D6" s="32">
        <v>4.244E7</v>
      </c>
      <c r="E6" s="32">
        <v>7.7216E7</v>
      </c>
      <c r="F6" s="32">
        <v>1.54888E8</v>
      </c>
      <c r="H6" s="10"/>
    </row>
    <row r="7">
      <c r="A7" s="25" t="s">
        <v>17</v>
      </c>
      <c r="B7" s="17"/>
      <c r="C7" s="25">
        <v>-1347500.0</v>
      </c>
      <c r="D7" s="17">
        <v>-1078000.0</v>
      </c>
      <c r="E7" s="17">
        <v>-1078000.0</v>
      </c>
      <c r="F7" s="17">
        <v>-1078000.0</v>
      </c>
    </row>
    <row r="8">
      <c r="A8" s="25" t="s">
        <v>18</v>
      </c>
      <c r="B8" s="17"/>
      <c r="C8" s="32">
        <v>2.1062E7</v>
      </c>
      <c r="D8" s="32">
        <v>4.1362E7</v>
      </c>
      <c r="E8" s="32">
        <v>7.6138E7</v>
      </c>
      <c r="F8" s="32">
        <v>1.5381E8</v>
      </c>
    </row>
    <row r="9">
      <c r="A9" s="25" t="s">
        <v>19</v>
      </c>
      <c r="B9" s="17"/>
      <c r="C9" s="17">
        <v>-7371699.999999999</v>
      </c>
      <c r="D9" s="17">
        <v>-1.44767E7</v>
      </c>
      <c r="E9" s="17">
        <v>-2.66483E7</v>
      </c>
      <c r="F9" s="17">
        <v>-5.38335E7</v>
      </c>
    </row>
    <row r="10">
      <c r="A10" s="25" t="s">
        <v>17</v>
      </c>
      <c r="B10" s="17"/>
      <c r="C10" s="17">
        <v>1078000.0</v>
      </c>
      <c r="D10" s="17">
        <v>1078000.0</v>
      </c>
      <c r="E10" s="17">
        <v>1078000.0</v>
      </c>
      <c r="F10" s="17">
        <v>1078000.0</v>
      </c>
    </row>
    <row r="11">
      <c r="A11" s="25" t="s">
        <v>20</v>
      </c>
      <c r="B11" s="25">
        <v>-1310000.0</v>
      </c>
      <c r="C11" s="17"/>
      <c r="D11" s="17"/>
      <c r="E11" s="17"/>
      <c r="F11" s="17">
        <v>1310000.0</v>
      </c>
    </row>
    <row r="12">
      <c r="A12" s="25" t="s">
        <v>21</v>
      </c>
      <c r="B12" s="17"/>
      <c r="C12" s="32">
        <v>1.47683E7</v>
      </c>
      <c r="D12" s="32">
        <v>2.79633E7</v>
      </c>
      <c r="E12" s="32">
        <v>5.05677E7</v>
      </c>
      <c r="F12" s="32">
        <v>1.023645E8</v>
      </c>
    </row>
    <row r="13">
      <c r="A13" s="25" t="s">
        <v>22</v>
      </c>
      <c r="B13" s="27">
        <v>2156000.0</v>
      </c>
      <c r="C13" s="17"/>
      <c r="D13" s="17"/>
      <c r="E13" s="17"/>
      <c r="F13" s="17"/>
    </row>
    <row r="14">
      <c r="A14" s="25" t="s">
        <v>23</v>
      </c>
      <c r="B14" s="17"/>
      <c r="C14" s="27">
        <v>-248490.87320453534</v>
      </c>
      <c r="D14" s="27">
        <v>-385160.85346702975</v>
      </c>
      <c r="E14" s="27">
        <v>-596999.3228738961</v>
      </c>
      <c r="F14" s="27">
        <v>-925348.9504545389</v>
      </c>
    </row>
    <row r="15">
      <c r="A15" s="25" t="s">
        <v>24</v>
      </c>
      <c r="B15" s="17"/>
      <c r="C15" s="27">
        <v>-1185800.0</v>
      </c>
      <c r="D15" s="27">
        <v>-837291.5503306392</v>
      </c>
      <c r="E15" s="27">
        <v>-837291.5503306392</v>
      </c>
      <c r="F15" s="27">
        <v>-508941.92274999636</v>
      </c>
    </row>
    <row r="16">
      <c r="A16" s="25" t="s">
        <v>25</v>
      </c>
      <c r="B16" s="17"/>
      <c r="C16" s="27">
        <v>415030.0</v>
      </c>
      <c r="D16" s="27">
        <v>293052.04261572374</v>
      </c>
      <c r="E16" s="27">
        <v>293052.04261572374</v>
      </c>
      <c r="F16" s="27">
        <v>178129.6729624987</v>
      </c>
    </row>
    <row r="17">
      <c r="A17" s="25" t="s">
        <v>26</v>
      </c>
      <c r="B17" s="27">
        <v>-3234000.0</v>
      </c>
      <c r="C17" s="27">
        <v>-1019260.8732045353</v>
      </c>
      <c r="D17" s="27">
        <v>-929400.3611819451</v>
      </c>
      <c r="E17" s="27">
        <v>-1141238.8305888115</v>
      </c>
      <c r="F17" s="27">
        <v>-1256161.2002420367</v>
      </c>
    </row>
    <row r="18">
      <c r="A18" s="25" t="s">
        <v>27</v>
      </c>
      <c r="B18" s="27">
        <v>-3234000.0</v>
      </c>
      <c r="C18" s="32">
        <v>1.3749039126795465E7</v>
      </c>
      <c r="D18" s="32">
        <v>2.7033899638818055E7</v>
      </c>
      <c r="E18" s="32">
        <v>4.942646116941119E7</v>
      </c>
      <c r="F18" s="32">
        <v>1.0110833879975796E8</v>
      </c>
    </row>
    <row r="19">
      <c r="A19" s="25" t="s">
        <v>28</v>
      </c>
      <c r="B19" s="27">
        <v>-3234000.0</v>
      </c>
      <c r="C19" s="27">
        <v>1.3749039126795465E7</v>
      </c>
      <c r="D19" s="27">
        <v>2.7033899638818055E7</v>
      </c>
      <c r="E19" s="27">
        <v>4.942646116941119E7</v>
      </c>
      <c r="F19" s="27">
        <v>1.0110833879975796E8</v>
      </c>
      <c r="G19" s="10"/>
    </row>
    <row r="20">
      <c r="A20" s="4" t="s">
        <v>29</v>
      </c>
      <c r="B20" s="16"/>
    </row>
    <row r="21">
      <c r="A21" s="4" t="s">
        <v>30</v>
      </c>
      <c r="B21" s="33"/>
    </row>
    <row r="22">
      <c r="A22" s="4" t="s">
        <v>41</v>
      </c>
    </row>
    <row r="24">
      <c r="A24" s="18"/>
      <c r="B24" s="18" t="s">
        <v>40</v>
      </c>
      <c r="C24" s="18">
        <v>1.0</v>
      </c>
      <c r="D24" s="18">
        <v>2.0</v>
      </c>
      <c r="E24" s="18">
        <v>3.0</v>
      </c>
      <c r="F24" s="18">
        <v>4.0</v>
      </c>
    </row>
    <row r="25">
      <c r="A25" s="25" t="s">
        <v>15</v>
      </c>
      <c r="B25" s="24">
        <v>-5390000.0</v>
      </c>
      <c r="C25" s="21"/>
      <c r="D25" s="21"/>
      <c r="E25" s="21"/>
      <c r="F25" s="21"/>
    </row>
    <row r="26">
      <c r="A26" s="25" t="s">
        <v>0</v>
      </c>
      <c r="B26" s="21"/>
      <c r="C26" s="21">
        <v>2.94E7</v>
      </c>
      <c r="D26" s="21">
        <v>5.04E7</v>
      </c>
      <c r="E26" s="21">
        <v>8.6016E7</v>
      </c>
      <c r="F26" s="21">
        <v>1.64864E8</v>
      </c>
    </row>
    <row r="27">
      <c r="A27" s="34" t="s">
        <v>10</v>
      </c>
      <c r="B27" s="35"/>
      <c r="C27" s="35">
        <f t="shared" ref="C27:F27" si="1">J32</f>
        <v>-7410000</v>
      </c>
      <c r="D27" s="35">
        <f t="shared" si="1"/>
        <v>-8170000</v>
      </c>
      <c r="E27" s="35">
        <f t="shared" si="1"/>
        <v>-9094000</v>
      </c>
      <c r="F27" s="35">
        <f t="shared" si="1"/>
        <v>-10387600</v>
      </c>
      <c r="G27" s="10">
        <v>0.1</v>
      </c>
      <c r="I27" s="1" t="s">
        <v>42</v>
      </c>
      <c r="J27" s="2"/>
      <c r="K27" s="2"/>
      <c r="L27" s="2"/>
      <c r="M27" s="3"/>
    </row>
    <row r="28">
      <c r="A28" s="18" t="s">
        <v>16</v>
      </c>
      <c r="B28" s="23"/>
      <c r="C28" s="23">
        <f t="shared" ref="C28:F28" si="2">C26+C27</f>
        <v>21990000</v>
      </c>
      <c r="D28" s="23">
        <f t="shared" si="2"/>
        <v>42230000</v>
      </c>
      <c r="E28" s="23">
        <f t="shared" si="2"/>
        <v>76922000</v>
      </c>
      <c r="F28" s="23">
        <f t="shared" si="2"/>
        <v>154476400</v>
      </c>
      <c r="I28" s="5"/>
      <c r="J28" s="6" t="s">
        <v>2</v>
      </c>
      <c r="K28" s="6" t="s">
        <v>3</v>
      </c>
      <c r="L28" s="6" t="s">
        <v>4</v>
      </c>
      <c r="M28" s="6" t="s">
        <v>5</v>
      </c>
    </row>
    <row r="29">
      <c r="A29" s="25" t="s">
        <v>17</v>
      </c>
      <c r="B29" s="21"/>
      <c r="C29" s="24">
        <v>-1347500.0</v>
      </c>
      <c r="D29" s="24">
        <v>-1347500.0</v>
      </c>
      <c r="E29" s="24">
        <v>-1347500.0</v>
      </c>
      <c r="F29" s="24">
        <v>-1347500.0</v>
      </c>
      <c r="I29" s="7" t="s">
        <v>11</v>
      </c>
      <c r="J29" s="11">
        <v>-5460000.0</v>
      </c>
      <c r="K29" s="11">
        <v>-5460000.0</v>
      </c>
      <c r="L29" s="11">
        <v>-5460000.0</v>
      </c>
      <c r="M29" s="11">
        <v>-5460000.0</v>
      </c>
    </row>
    <row r="30">
      <c r="A30" s="18" t="s">
        <v>18</v>
      </c>
      <c r="B30" s="23"/>
      <c r="C30" s="23">
        <f t="shared" ref="C30:F30" si="3">C28+C29</f>
        <v>20642500</v>
      </c>
      <c r="D30" s="23">
        <f t="shared" si="3"/>
        <v>40882500</v>
      </c>
      <c r="E30" s="23">
        <f t="shared" si="3"/>
        <v>75574500</v>
      </c>
      <c r="F30" s="23">
        <f t="shared" si="3"/>
        <v>153128900</v>
      </c>
      <c r="I30" s="7" t="s">
        <v>12</v>
      </c>
      <c r="J30" s="11">
        <v>-300000.0</v>
      </c>
      <c r="K30" s="11">
        <v>-400000.0</v>
      </c>
      <c r="L30" s="11">
        <v>-400000.0</v>
      </c>
      <c r="M30" s="11">
        <v>-400000.0</v>
      </c>
    </row>
    <row r="31">
      <c r="A31" s="25" t="s">
        <v>19</v>
      </c>
      <c r="B31" s="21"/>
      <c r="C31" s="21">
        <f t="shared" ref="C31:F31" si="4">-C30*$G$31</f>
        <v>-7224875</v>
      </c>
      <c r="D31" s="21">
        <f t="shared" si="4"/>
        <v>-14308875</v>
      </c>
      <c r="E31" s="21">
        <f t="shared" si="4"/>
        <v>-26451075</v>
      </c>
      <c r="F31" s="21">
        <f t="shared" si="4"/>
        <v>-53595115</v>
      </c>
      <c r="G31" s="10">
        <v>0.35</v>
      </c>
      <c r="I31" s="36" t="s">
        <v>13</v>
      </c>
      <c r="J31" s="37">
        <f>'Hoja 1'!B13*(1+$G$27)</f>
        <v>-1650000</v>
      </c>
      <c r="K31" s="37">
        <f>'Hoja 1'!C13*(1+$G$27)</f>
        <v>-2310000</v>
      </c>
      <c r="L31" s="37">
        <f>'Hoja 1'!D13*(1+$G$27)</f>
        <v>-3234000</v>
      </c>
      <c r="M31" s="37">
        <f>'Hoja 1'!E13*(1+$G$27)</f>
        <v>-4527600</v>
      </c>
    </row>
    <row r="32">
      <c r="A32" s="25" t="s">
        <v>17</v>
      </c>
      <c r="B32" s="21"/>
      <c r="C32" s="24">
        <v>1347500.0</v>
      </c>
      <c r="D32" s="24">
        <v>1347500.0</v>
      </c>
      <c r="E32" s="24">
        <v>1347500.0</v>
      </c>
      <c r="F32" s="24">
        <v>1347500.0</v>
      </c>
      <c r="I32" s="7" t="s">
        <v>14</v>
      </c>
      <c r="J32" s="11">
        <f t="shared" ref="J32:M32" si="5">J29+J30+J31</f>
        <v>-7410000</v>
      </c>
      <c r="K32" s="11">
        <f t="shared" si="5"/>
        <v>-8170000</v>
      </c>
      <c r="L32" s="11">
        <f t="shared" si="5"/>
        <v>-9094000</v>
      </c>
      <c r="M32" s="11">
        <f t="shared" si="5"/>
        <v>-10387600</v>
      </c>
      <c r="N32" s="11"/>
    </row>
    <row r="33">
      <c r="A33" s="25" t="s">
        <v>20</v>
      </c>
      <c r="B33" s="24">
        <v>-1310000.0</v>
      </c>
      <c r="C33" s="21"/>
      <c r="D33" s="21"/>
      <c r="E33" s="21"/>
      <c r="F33" s="21">
        <v>1310000.0</v>
      </c>
    </row>
    <row r="34">
      <c r="A34" s="18" t="s">
        <v>21</v>
      </c>
      <c r="B34" s="23"/>
      <c r="C34" s="23">
        <f t="shared" ref="C34:E34" si="6">C30+C31+C32</f>
        <v>14765125</v>
      </c>
      <c r="D34" s="23">
        <f t="shared" si="6"/>
        <v>27921125</v>
      </c>
      <c r="E34" s="23">
        <f t="shared" si="6"/>
        <v>50470925</v>
      </c>
      <c r="F34" s="23">
        <f>F30+F31+F32+F33</f>
        <v>102191285</v>
      </c>
      <c r="I34" s="1" t="s">
        <v>43</v>
      </c>
      <c r="J34" s="2"/>
      <c r="K34" s="2"/>
      <c r="L34" s="2"/>
      <c r="M34" s="3"/>
    </row>
    <row r="35">
      <c r="A35" s="25" t="s">
        <v>22</v>
      </c>
      <c r="B35" s="21">
        <v>2156000.0</v>
      </c>
      <c r="C35" s="21"/>
      <c r="D35" s="21"/>
      <c r="E35" s="21"/>
      <c r="F35" s="21"/>
      <c r="I35" s="5"/>
      <c r="J35" s="6" t="s">
        <v>2</v>
      </c>
      <c r="K35" s="6" t="s">
        <v>3</v>
      </c>
      <c r="L35" s="6" t="s">
        <v>4</v>
      </c>
      <c r="M35" s="6" t="s">
        <v>5</v>
      </c>
    </row>
    <row r="36">
      <c r="A36" s="25" t="s">
        <v>23</v>
      </c>
      <c r="B36" s="21"/>
      <c r="C36" s="21">
        <v>-248490.87320453534</v>
      </c>
      <c r="D36" s="21">
        <v>-385160.85346702975</v>
      </c>
      <c r="E36" s="21">
        <v>-596999.3228738961</v>
      </c>
      <c r="F36" s="21">
        <v>-925348.9504545389</v>
      </c>
      <c r="I36" s="7" t="s">
        <v>11</v>
      </c>
      <c r="J36" s="11">
        <v>-5460000.0</v>
      </c>
      <c r="K36" s="11">
        <v>-5460000.0</v>
      </c>
      <c r="L36" s="11">
        <v>-5460000.0</v>
      </c>
      <c r="M36" s="11">
        <v>-5460000.0</v>
      </c>
    </row>
    <row r="37">
      <c r="A37" s="25" t="s">
        <v>24</v>
      </c>
      <c r="B37" s="21"/>
      <c r="C37" s="21">
        <v>-1185800.0</v>
      </c>
      <c r="D37" s="21">
        <v>-837291.5503306392</v>
      </c>
      <c r="E37" s="21">
        <v>-837291.5503306392</v>
      </c>
      <c r="F37" s="21">
        <v>-508941.92274999636</v>
      </c>
      <c r="I37" s="7" t="s">
        <v>12</v>
      </c>
      <c r="J37" s="11">
        <v>-300000.0</v>
      </c>
      <c r="K37" s="11">
        <v>-400000.0</v>
      </c>
      <c r="L37" s="11">
        <v>-400000.0</v>
      </c>
      <c r="M37" s="11">
        <v>-400000.0</v>
      </c>
    </row>
    <row r="38">
      <c r="A38" s="25" t="s">
        <v>25</v>
      </c>
      <c r="B38" s="21"/>
      <c r="C38" s="21">
        <v>415030.0</v>
      </c>
      <c r="D38" s="21">
        <v>293052.04261572374</v>
      </c>
      <c r="E38" s="21">
        <v>293052.04261572374</v>
      </c>
      <c r="F38" s="21">
        <v>178129.6729624987</v>
      </c>
      <c r="I38" s="36" t="s">
        <v>13</v>
      </c>
      <c r="J38" s="37">
        <f>'Hoja 1'!B13*(1-$G$27)</f>
        <v>-1350000</v>
      </c>
      <c r="K38" s="37">
        <f>'Hoja 1'!C13*(1-$G$27)</f>
        <v>-1890000</v>
      </c>
      <c r="L38" s="37">
        <f>'Hoja 1'!D13*(1-$G$27)</f>
        <v>-2646000</v>
      </c>
      <c r="M38" s="37">
        <f>'Hoja 1'!E13*(1-$G$27)</f>
        <v>-3704400</v>
      </c>
    </row>
    <row r="39">
      <c r="A39" s="18" t="s">
        <v>26</v>
      </c>
      <c r="B39" s="23">
        <v>-3234000.0</v>
      </c>
      <c r="C39" s="23">
        <v>-1019260.8732045353</v>
      </c>
      <c r="D39" s="23">
        <v>-929400.3611819451</v>
      </c>
      <c r="E39" s="23">
        <v>-1141238.8305888115</v>
      </c>
      <c r="F39" s="23">
        <v>-1256161.2002420367</v>
      </c>
      <c r="I39" s="7" t="s">
        <v>14</v>
      </c>
      <c r="J39" s="11">
        <f t="shared" ref="J39:M39" si="7">J36+J37+J38</f>
        <v>-7110000</v>
      </c>
      <c r="K39" s="11">
        <f t="shared" si="7"/>
        <v>-7750000</v>
      </c>
      <c r="L39" s="11">
        <f t="shared" si="7"/>
        <v>-8506000</v>
      </c>
      <c r="M39" s="11">
        <f t="shared" si="7"/>
        <v>-9564400</v>
      </c>
    </row>
    <row r="40">
      <c r="A40" s="18" t="s">
        <v>27</v>
      </c>
      <c r="B40" s="23">
        <v>-3234000.0</v>
      </c>
      <c r="C40" s="23">
        <f t="shared" ref="C40:F40" si="8">C34+C39</f>
        <v>13745864.13</v>
      </c>
      <c r="D40" s="23">
        <f t="shared" si="8"/>
        <v>26991724.64</v>
      </c>
      <c r="E40" s="23">
        <f t="shared" si="8"/>
        <v>49329686.17</v>
      </c>
      <c r="F40" s="23">
        <f t="shared" si="8"/>
        <v>100935123.8</v>
      </c>
    </row>
    <row r="41">
      <c r="A41" s="18" t="s">
        <v>28</v>
      </c>
      <c r="B41" s="23">
        <v>-3234000.0</v>
      </c>
      <c r="C41" s="23">
        <f t="shared" ref="C41:F41" si="9">C40/(1+$G$41)^C24</f>
        <v>8330826.744</v>
      </c>
      <c r="D41" s="23">
        <f t="shared" si="9"/>
        <v>9914315.753</v>
      </c>
      <c r="E41" s="23">
        <f t="shared" si="9"/>
        <v>10981369.88</v>
      </c>
      <c r="F41" s="23">
        <f t="shared" si="9"/>
        <v>13617787.19</v>
      </c>
      <c r="G41" s="10">
        <v>0.65</v>
      </c>
    </row>
    <row r="42">
      <c r="A42" s="4" t="s">
        <v>29</v>
      </c>
      <c r="B42" s="38">
        <f>B41+C41+D41+E41+F41</f>
        <v>39610299.57</v>
      </c>
      <c r="C42" s="38"/>
      <c r="D42" s="38"/>
      <c r="E42" s="38"/>
      <c r="F42" s="38"/>
    </row>
    <row r="43">
      <c r="A43" s="4" t="s">
        <v>30</v>
      </c>
      <c r="B43" s="9">
        <f>IRR(B41:F41,G41)</f>
        <v>2.725135284</v>
      </c>
      <c r="C43" s="38"/>
      <c r="D43" s="38"/>
      <c r="E43" s="38"/>
      <c r="F43" s="38"/>
    </row>
    <row r="44">
      <c r="A44" s="31"/>
      <c r="B44" s="31"/>
      <c r="C44" s="31"/>
      <c r="D44" s="31"/>
      <c r="E44" s="31"/>
      <c r="F44" s="31"/>
    </row>
    <row r="45">
      <c r="A45" s="18"/>
      <c r="B45" s="18" t="s">
        <v>40</v>
      </c>
      <c r="C45" s="18">
        <v>1.0</v>
      </c>
      <c r="D45" s="18">
        <v>2.0</v>
      </c>
      <c r="E45" s="18">
        <v>3.0</v>
      </c>
      <c r="F45" s="18">
        <v>4.0</v>
      </c>
    </row>
    <row r="46">
      <c r="A46" s="25" t="s">
        <v>15</v>
      </c>
      <c r="B46" s="24">
        <v>-5390000.0</v>
      </c>
      <c r="C46" s="21"/>
      <c r="D46" s="21"/>
      <c r="E46" s="21"/>
      <c r="F46" s="21"/>
    </row>
    <row r="47">
      <c r="A47" s="25" t="s">
        <v>0</v>
      </c>
      <c r="B47" s="21"/>
      <c r="C47" s="21">
        <v>2.94E7</v>
      </c>
      <c r="D47" s="21">
        <v>5.04E7</v>
      </c>
      <c r="E47" s="21">
        <v>8.6016E7</v>
      </c>
      <c r="F47" s="21">
        <v>1.64864E8</v>
      </c>
    </row>
    <row r="48">
      <c r="A48" s="34" t="s">
        <v>10</v>
      </c>
      <c r="B48" s="35"/>
      <c r="C48" s="39">
        <f t="shared" ref="C48:F48" si="10">J39</f>
        <v>-7110000</v>
      </c>
      <c r="D48" s="39">
        <f t="shared" si="10"/>
        <v>-7750000</v>
      </c>
      <c r="E48" s="39">
        <f t="shared" si="10"/>
        <v>-8506000</v>
      </c>
      <c r="F48" s="39">
        <f t="shared" si="10"/>
        <v>-9564400</v>
      </c>
      <c r="G48" s="10">
        <v>0.1</v>
      </c>
    </row>
    <row r="49">
      <c r="A49" s="18" t="s">
        <v>16</v>
      </c>
      <c r="B49" s="23"/>
      <c r="C49" s="23">
        <f t="shared" ref="C49:F49" si="11">C47+C48</f>
        <v>22290000</v>
      </c>
      <c r="D49" s="23">
        <f t="shared" si="11"/>
        <v>42650000</v>
      </c>
      <c r="E49" s="23">
        <f t="shared" si="11"/>
        <v>77510000</v>
      </c>
      <c r="F49" s="23">
        <f t="shared" si="11"/>
        <v>155299600</v>
      </c>
    </row>
    <row r="50">
      <c r="A50" s="25" t="s">
        <v>17</v>
      </c>
      <c r="B50" s="21"/>
      <c r="C50" s="24">
        <v>-1347500.0</v>
      </c>
      <c r="D50" s="24">
        <v>-1347500.0</v>
      </c>
      <c r="E50" s="24">
        <v>-1347500.0</v>
      </c>
      <c r="F50" s="24">
        <v>-1347500.0</v>
      </c>
    </row>
    <row r="51">
      <c r="A51" s="18" t="s">
        <v>18</v>
      </c>
      <c r="B51" s="23"/>
      <c r="C51" s="23">
        <f t="shared" ref="C51:F51" si="12">C49+C50</f>
        <v>20942500</v>
      </c>
      <c r="D51" s="23">
        <f t="shared" si="12"/>
        <v>41302500</v>
      </c>
      <c r="E51" s="23">
        <f t="shared" si="12"/>
        <v>76162500</v>
      </c>
      <c r="F51" s="23">
        <f t="shared" si="12"/>
        <v>153952100</v>
      </c>
      <c r="H51" s="40" t="s">
        <v>13</v>
      </c>
      <c r="I51" s="41" t="s">
        <v>29</v>
      </c>
      <c r="J51" s="41" t="s">
        <v>30</v>
      </c>
      <c r="K51" s="41" t="s">
        <v>44</v>
      </c>
    </row>
    <row r="52">
      <c r="A52" s="25" t="s">
        <v>19</v>
      </c>
      <c r="B52" s="21"/>
      <c r="C52" s="21">
        <f t="shared" ref="C52:F52" si="13">-C51*$G$31</f>
        <v>-7329875</v>
      </c>
      <c r="D52" s="21">
        <f t="shared" si="13"/>
        <v>-14455875</v>
      </c>
      <c r="E52" s="21">
        <f t="shared" si="13"/>
        <v>-26656875</v>
      </c>
      <c r="F52" s="21">
        <f t="shared" si="13"/>
        <v>-53883235</v>
      </c>
      <c r="H52" s="41" t="s">
        <v>45</v>
      </c>
      <c r="I52" s="42">
        <f>B42</f>
        <v>39610299.57</v>
      </c>
      <c r="J52" s="43">
        <f>B43</f>
        <v>2.725135284</v>
      </c>
      <c r="K52" s="44" t="s">
        <v>46</v>
      </c>
    </row>
    <row r="53">
      <c r="A53" s="25" t="s">
        <v>17</v>
      </c>
      <c r="B53" s="21"/>
      <c r="C53" s="24">
        <v>1347500.0</v>
      </c>
      <c r="D53" s="24">
        <v>1347500.0</v>
      </c>
      <c r="E53" s="24">
        <v>1347500.0</v>
      </c>
      <c r="F53" s="24">
        <v>1347500.0</v>
      </c>
      <c r="H53" s="41" t="s">
        <v>47</v>
      </c>
      <c r="I53" s="45">
        <f>'Hoja 1'!B35</f>
        <v>39798164.83</v>
      </c>
      <c r="J53" s="46" t="str">
        <f>B21</f>
        <v/>
      </c>
      <c r="K53" s="47"/>
    </row>
    <row r="54">
      <c r="A54" s="25" t="s">
        <v>20</v>
      </c>
      <c r="B54" s="24">
        <v>-1310000.0</v>
      </c>
      <c r="C54" s="21"/>
      <c r="D54" s="21"/>
      <c r="E54" s="21"/>
      <c r="F54" s="21">
        <v>1310000.0</v>
      </c>
      <c r="H54" s="41" t="s">
        <v>48</v>
      </c>
      <c r="I54" s="42">
        <f>B63</f>
        <v>39986030.08</v>
      </c>
      <c r="J54" s="43">
        <f>B64</f>
        <v>2.758450757</v>
      </c>
      <c r="K54" s="44" t="s">
        <v>46</v>
      </c>
    </row>
    <row r="55">
      <c r="A55" s="18" t="s">
        <v>21</v>
      </c>
      <c r="B55" s="23"/>
      <c r="C55" s="23">
        <f t="shared" ref="C55:E55" si="14">C51+C52+C53</f>
        <v>14960125</v>
      </c>
      <c r="D55" s="23">
        <f t="shared" si="14"/>
        <v>28194125</v>
      </c>
      <c r="E55" s="23">
        <f t="shared" si="14"/>
        <v>50853125</v>
      </c>
      <c r="F55" s="23">
        <f>F51+F52+F53+F54</f>
        <v>102726365</v>
      </c>
      <c r="H55" s="41" t="s">
        <v>49</v>
      </c>
      <c r="I55" s="42">
        <f>I54-I52</f>
        <v>375730.5082</v>
      </c>
      <c r="J55" s="48"/>
      <c r="K55" s="48"/>
    </row>
    <row r="56">
      <c r="A56" s="25" t="s">
        <v>22</v>
      </c>
      <c r="B56" s="21">
        <v>2156000.0</v>
      </c>
      <c r="C56" s="21"/>
      <c r="D56" s="21"/>
      <c r="E56" s="21"/>
      <c r="F56" s="21"/>
    </row>
    <row r="57">
      <c r="A57" s="25" t="s">
        <v>23</v>
      </c>
      <c r="B57" s="21"/>
      <c r="C57" s="21">
        <v>-248490.87320453534</v>
      </c>
      <c r="D57" s="21">
        <v>-385160.85346702975</v>
      </c>
      <c r="E57" s="21">
        <v>-596999.3228738961</v>
      </c>
      <c r="F57" s="21">
        <v>-925348.9504545389</v>
      </c>
    </row>
    <row r="58">
      <c r="A58" s="25" t="s">
        <v>24</v>
      </c>
      <c r="B58" s="21"/>
      <c r="C58" s="21">
        <v>-1185800.0</v>
      </c>
      <c r="D58" s="21">
        <v>-837291.5503306392</v>
      </c>
      <c r="E58" s="21">
        <v>-837291.5503306392</v>
      </c>
      <c r="F58" s="21">
        <v>-508941.92274999636</v>
      </c>
    </row>
    <row r="59">
      <c r="A59" s="25" t="s">
        <v>25</v>
      </c>
      <c r="B59" s="21"/>
      <c r="C59" s="21">
        <v>415030.0</v>
      </c>
      <c r="D59" s="21">
        <v>293052.04261572374</v>
      </c>
      <c r="E59" s="21">
        <v>293052.04261572374</v>
      </c>
      <c r="F59" s="21">
        <v>178129.6729624987</v>
      </c>
    </row>
    <row r="60">
      <c r="A60" s="18" t="s">
        <v>26</v>
      </c>
      <c r="B60" s="23">
        <v>-3234000.0</v>
      </c>
      <c r="C60" s="23">
        <v>-1019260.8732045353</v>
      </c>
      <c r="D60" s="23">
        <v>-929400.3611819451</v>
      </c>
      <c r="E60" s="23">
        <v>-1141238.8305888115</v>
      </c>
      <c r="F60" s="23">
        <v>-1256161.2002420367</v>
      </c>
    </row>
    <row r="61">
      <c r="A61" s="18" t="s">
        <v>27</v>
      </c>
      <c r="B61" s="23">
        <v>-3234000.0</v>
      </c>
      <c r="C61" s="23">
        <f t="shared" ref="C61:F61" si="15">C55+C60</f>
        <v>13940864.13</v>
      </c>
      <c r="D61" s="23">
        <f t="shared" si="15"/>
        <v>27264724.64</v>
      </c>
      <c r="E61" s="23">
        <f t="shared" si="15"/>
        <v>49711886.17</v>
      </c>
      <c r="F61" s="23">
        <f t="shared" si="15"/>
        <v>101470203.8</v>
      </c>
    </row>
    <row r="62">
      <c r="A62" s="18" t="s">
        <v>28</v>
      </c>
      <c r="B62" s="23">
        <v>-3234000.0</v>
      </c>
      <c r="C62" s="23">
        <f t="shared" ref="C62:F62" si="16">C61/(1+$G$41)^C45</f>
        <v>8449008.562</v>
      </c>
      <c r="D62" s="23">
        <f t="shared" si="16"/>
        <v>10014591.24</v>
      </c>
      <c r="E62" s="23">
        <f t="shared" si="16"/>
        <v>11066452.11</v>
      </c>
      <c r="F62" s="23">
        <f t="shared" si="16"/>
        <v>13689978.18</v>
      </c>
    </row>
    <row r="63">
      <c r="A63" s="4" t="s">
        <v>29</v>
      </c>
      <c r="B63" s="38">
        <f>B62+C62+D62+E62+F62</f>
        <v>39986030.08</v>
      </c>
      <c r="C63" s="38"/>
      <c r="D63" s="38"/>
      <c r="E63" s="38"/>
      <c r="F63" s="38"/>
    </row>
    <row r="64">
      <c r="A64" s="4" t="s">
        <v>30</v>
      </c>
      <c r="B64" s="33">
        <f>IRR(B62:F62,G41)</f>
        <v>2.758450757</v>
      </c>
    </row>
    <row r="69">
      <c r="A69" s="4" t="s">
        <v>50</v>
      </c>
    </row>
    <row r="71">
      <c r="A71" s="18"/>
      <c r="B71" s="18" t="s">
        <v>40</v>
      </c>
      <c r="C71" s="18">
        <v>1.0</v>
      </c>
      <c r="D71" s="18">
        <v>2.0</v>
      </c>
      <c r="E71" s="18">
        <v>3.0</v>
      </c>
      <c r="F71" s="18">
        <v>4.0</v>
      </c>
    </row>
    <row r="72">
      <c r="A72" s="25" t="s">
        <v>15</v>
      </c>
      <c r="B72" s="24">
        <v>-5390000.0</v>
      </c>
      <c r="C72" s="21"/>
      <c r="D72" s="21"/>
      <c r="E72" s="21"/>
      <c r="F72" s="21"/>
    </row>
    <row r="73">
      <c r="A73" s="25" t="s">
        <v>0</v>
      </c>
      <c r="B73" s="21"/>
      <c r="C73" s="21">
        <v>2.94E7</v>
      </c>
      <c r="D73" s="21">
        <v>5.04E7</v>
      </c>
      <c r="E73" s="21">
        <v>8.6016E7</v>
      </c>
      <c r="F73" s="21">
        <v>1.64864E8</v>
      </c>
    </row>
    <row r="74">
      <c r="A74" s="34" t="s">
        <v>10</v>
      </c>
      <c r="B74" s="35"/>
      <c r="C74" s="35">
        <f t="shared" ref="C74:F74" si="17">(I79)</f>
        <v>-7230000</v>
      </c>
      <c r="D74" s="35">
        <f t="shared" si="17"/>
        <v>-7920000</v>
      </c>
      <c r="E74" s="35">
        <f t="shared" si="17"/>
        <v>-8760000</v>
      </c>
      <c r="F74" s="35">
        <f t="shared" si="17"/>
        <v>-9936000</v>
      </c>
      <c r="H74" s="25" t="s">
        <v>10</v>
      </c>
      <c r="I74" s="17"/>
      <c r="J74" s="17"/>
      <c r="K74" s="17"/>
      <c r="L74" s="17"/>
    </row>
    <row r="75">
      <c r="A75" s="18" t="s">
        <v>16</v>
      </c>
      <c r="B75" s="23"/>
      <c r="C75" s="23">
        <f t="shared" ref="C75:F75" si="18">(C73+C74)</f>
        <v>22170000</v>
      </c>
      <c r="D75" s="23">
        <f t="shared" si="18"/>
        <v>42480000</v>
      </c>
      <c r="E75" s="23">
        <f t="shared" si="18"/>
        <v>77256000</v>
      </c>
      <c r="F75" s="23">
        <f t="shared" si="18"/>
        <v>154928000</v>
      </c>
      <c r="H75" s="17"/>
      <c r="I75" s="25" t="s">
        <v>2</v>
      </c>
      <c r="J75" s="25" t="s">
        <v>3</v>
      </c>
      <c r="K75" s="25" t="s">
        <v>4</v>
      </c>
      <c r="L75" s="25" t="s">
        <v>5</v>
      </c>
    </row>
    <row r="76">
      <c r="A76" s="25" t="s">
        <v>17</v>
      </c>
      <c r="B76" s="21"/>
      <c r="C76" s="24">
        <v>-1347500.0</v>
      </c>
      <c r="D76" s="24">
        <v>-1347500.0</v>
      </c>
      <c r="E76" s="24">
        <v>-1347500.0</v>
      </c>
      <c r="F76" s="24">
        <v>-1347500.0</v>
      </c>
      <c r="H76" s="25" t="s">
        <v>11</v>
      </c>
      <c r="I76" s="28">
        <v>-5460000.0</v>
      </c>
      <c r="J76" s="28">
        <v>-5460000.0</v>
      </c>
      <c r="K76" s="28">
        <v>-5460000.0</v>
      </c>
      <c r="L76" s="28">
        <v>-5460000.0</v>
      </c>
    </row>
    <row r="77">
      <c r="A77" s="18" t="s">
        <v>18</v>
      </c>
      <c r="B77" s="23"/>
      <c r="C77" s="23">
        <f t="shared" ref="C77:F77" si="19">(C75+C76)</f>
        <v>20822500</v>
      </c>
      <c r="D77" s="23">
        <f t="shared" si="19"/>
        <v>41132500</v>
      </c>
      <c r="E77" s="23">
        <f t="shared" si="19"/>
        <v>75908500</v>
      </c>
      <c r="F77" s="23">
        <f t="shared" si="19"/>
        <v>153580500</v>
      </c>
      <c r="H77" s="34" t="s">
        <v>12</v>
      </c>
      <c r="I77" s="49">
        <f>-(300000-(300000*0.1))</f>
        <v>-270000</v>
      </c>
      <c r="J77" s="49">
        <f t="shared" ref="J77:L77" si="20">-(400000-(400000*0.1))</f>
        <v>-360000</v>
      </c>
      <c r="K77" s="49">
        <f t="shared" si="20"/>
        <v>-360000</v>
      </c>
      <c r="L77" s="49">
        <f t="shared" si="20"/>
        <v>-360000</v>
      </c>
    </row>
    <row r="78">
      <c r="A78" s="25" t="s">
        <v>19</v>
      </c>
      <c r="B78" s="21"/>
      <c r="C78" s="21">
        <f>-PRODUCT(C77,0.35)</f>
        <v>-7287875</v>
      </c>
      <c r="D78" s="21">
        <f t="shared" ref="D78:F78" si="21">-(D77*0.35)</f>
        <v>-14396375</v>
      </c>
      <c r="E78" s="21">
        <f t="shared" si="21"/>
        <v>-26567975</v>
      </c>
      <c r="F78" s="21">
        <f t="shared" si="21"/>
        <v>-53753175</v>
      </c>
      <c r="H78" s="25" t="s">
        <v>13</v>
      </c>
      <c r="I78" s="28">
        <v>-1500000.0</v>
      </c>
      <c r="J78" s="28">
        <v>-2100000.0</v>
      </c>
      <c r="K78" s="28">
        <v>-2940000.0</v>
      </c>
      <c r="L78" s="28">
        <v>-4115999.9999999995</v>
      </c>
    </row>
    <row r="79">
      <c r="A79" s="25" t="s">
        <v>17</v>
      </c>
      <c r="B79" s="21"/>
      <c r="C79" s="24">
        <v>1347500.0</v>
      </c>
      <c r="D79" s="24">
        <v>1347500.0</v>
      </c>
      <c r="E79" s="24">
        <v>1347500.0</v>
      </c>
      <c r="F79" s="24">
        <v>1347500.0</v>
      </c>
      <c r="H79" s="25" t="s">
        <v>14</v>
      </c>
      <c r="I79" s="28">
        <f t="shared" ref="I79:L79" si="22">(I76+I77+I78)</f>
        <v>-7230000</v>
      </c>
      <c r="J79" s="28">
        <f t="shared" si="22"/>
        <v>-7920000</v>
      </c>
      <c r="K79" s="28">
        <f t="shared" si="22"/>
        <v>-8760000</v>
      </c>
      <c r="L79" s="28">
        <f t="shared" si="22"/>
        <v>-9936000</v>
      </c>
    </row>
    <row r="80">
      <c r="A80" s="25" t="s">
        <v>20</v>
      </c>
      <c r="B80" s="24">
        <v>-1310000.0</v>
      </c>
      <c r="C80" s="21"/>
      <c r="D80" s="21"/>
      <c r="E80" s="21"/>
      <c r="F80" s="21">
        <v>1310000.0</v>
      </c>
    </row>
    <row r="81">
      <c r="A81" s="18" t="s">
        <v>21</v>
      </c>
      <c r="B81" s="23"/>
      <c r="C81" s="23">
        <f t="shared" ref="C81:F81" si="23">(C77+C78+C79+C80)</f>
        <v>14882125</v>
      </c>
      <c r="D81" s="23">
        <f t="shared" si="23"/>
        <v>28083625</v>
      </c>
      <c r="E81" s="23">
        <f t="shared" si="23"/>
        <v>50688025</v>
      </c>
      <c r="F81" s="23">
        <f t="shared" si="23"/>
        <v>102484825</v>
      </c>
    </row>
    <row r="82">
      <c r="A82" s="25" t="s">
        <v>22</v>
      </c>
      <c r="B82" s="21">
        <v>2156000.0</v>
      </c>
      <c r="C82" s="21"/>
      <c r="D82" s="21"/>
      <c r="E82" s="21"/>
      <c r="F82" s="21"/>
    </row>
    <row r="83">
      <c r="A83" s="25" t="s">
        <v>23</v>
      </c>
      <c r="B83" s="21"/>
      <c r="C83" s="21">
        <v>-248490.87320453534</v>
      </c>
      <c r="D83" s="21">
        <v>-385160.85346702975</v>
      </c>
      <c r="E83" s="21">
        <v>-596999.3228738961</v>
      </c>
      <c r="F83" s="21">
        <v>-925348.9504545389</v>
      </c>
    </row>
    <row r="84">
      <c r="A84" s="25" t="s">
        <v>24</v>
      </c>
      <c r="B84" s="21"/>
      <c r="C84" s="21">
        <v>-1185800.0</v>
      </c>
      <c r="D84" s="21">
        <v>-837291.5503306392</v>
      </c>
      <c r="E84" s="21">
        <v>-837291.5503306392</v>
      </c>
      <c r="F84" s="21">
        <v>-508941.92274999636</v>
      </c>
    </row>
    <row r="85">
      <c r="A85" s="25" t="s">
        <v>25</v>
      </c>
      <c r="B85" s="21"/>
      <c r="C85" s="21">
        <v>415030.0</v>
      </c>
      <c r="D85" s="21">
        <v>293052.04261572374</v>
      </c>
      <c r="E85" s="21">
        <v>293052.04261572374</v>
      </c>
      <c r="F85" s="21">
        <v>178129.6729624987</v>
      </c>
    </row>
    <row r="86">
      <c r="A86" s="18" t="s">
        <v>26</v>
      </c>
      <c r="B86" s="23">
        <v>-3234000.0</v>
      </c>
      <c r="C86" s="23">
        <v>-1019260.8732045353</v>
      </c>
      <c r="D86" s="23">
        <v>-929400.3611819451</v>
      </c>
      <c r="E86" s="23">
        <v>-1141238.8305888115</v>
      </c>
      <c r="F86" s="23">
        <v>-1256161.2002420367</v>
      </c>
    </row>
    <row r="87">
      <c r="A87" s="18" t="s">
        <v>27</v>
      </c>
      <c r="B87" s="23">
        <v>-3234000.0</v>
      </c>
      <c r="C87" s="23">
        <f t="shared" ref="C87:F87" si="24">(C81+C86)</f>
        <v>13862864.13</v>
      </c>
      <c r="D87" s="23">
        <f t="shared" si="24"/>
        <v>27154224.64</v>
      </c>
      <c r="E87" s="23">
        <f t="shared" si="24"/>
        <v>49546786.17</v>
      </c>
      <c r="F87" s="23">
        <f t="shared" si="24"/>
        <v>101228663.8</v>
      </c>
    </row>
    <row r="88">
      <c r="A88" s="18" t="s">
        <v>28</v>
      </c>
      <c r="B88" s="23">
        <v>-3234000.0</v>
      </c>
      <c r="C88" s="23">
        <f>(C87/((1.65)^1))</f>
        <v>8401735.834</v>
      </c>
      <c r="D88" s="23">
        <f>(D87/((1.65)^2))</f>
        <v>9974003.54</v>
      </c>
      <c r="E88" s="23">
        <f>(E87/((1.65)^3))</f>
        <v>11029698.9</v>
      </c>
      <c r="F88" s="23">
        <f>(F87/((1.65)^4))</f>
        <v>13657390.51</v>
      </c>
      <c r="G88" s="27"/>
    </row>
    <row r="89">
      <c r="A89" s="4" t="s">
        <v>29</v>
      </c>
      <c r="B89" s="38">
        <f>(B88+C88+D88+E88+F88)</f>
        <v>39828828.78</v>
      </c>
      <c r="C89" s="38"/>
      <c r="D89" s="38"/>
      <c r="E89" s="38"/>
      <c r="F89" s="38"/>
    </row>
    <row r="90">
      <c r="A90" s="4" t="s">
        <v>30</v>
      </c>
      <c r="B90" s="33">
        <f>IRR(B88:F88,0.65)</f>
        <v>2.745031562</v>
      </c>
    </row>
    <row r="93">
      <c r="A93" s="4" t="s">
        <v>51</v>
      </c>
    </row>
    <row r="94">
      <c r="A94" s="18"/>
      <c r="B94" s="18" t="s">
        <v>40</v>
      </c>
      <c r="C94" s="18">
        <v>1.0</v>
      </c>
      <c r="D94" s="18">
        <v>2.0</v>
      </c>
      <c r="E94" s="18">
        <v>3.0</v>
      </c>
      <c r="F94" s="18">
        <v>4.0</v>
      </c>
    </row>
    <row r="95">
      <c r="A95" s="25" t="s">
        <v>15</v>
      </c>
      <c r="B95" s="24">
        <v>-5390000.0</v>
      </c>
      <c r="C95" s="21"/>
      <c r="D95" s="21"/>
      <c r="E95" s="21"/>
      <c r="F95" s="21"/>
    </row>
    <row r="96">
      <c r="A96" s="25" t="s">
        <v>0</v>
      </c>
      <c r="B96" s="21"/>
      <c r="C96" s="21">
        <v>2.94E7</v>
      </c>
      <c r="D96" s="21">
        <v>5.04E7</v>
      </c>
      <c r="E96" s="21">
        <v>8.6016E7</v>
      </c>
      <c r="F96" s="21">
        <v>1.64864E8</v>
      </c>
      <c r="H96" s="25" t="s">
        <v>10</v>
      </c>
      <c r="I96" s="17"/>
      <c r="J96" s="17"/>
      <c r="K96" s="17"/>
      <c r="L96" s="17"/>
    </row>
    <row r="97">
      <c r="A97" s="34" t="s">
        <v>10</v>
      </c>
      <c r="B97" s="35"/>
      <c r="C97" s="35">
        <v>-7290000.0</v>
      </c>
      <c r="D97" s="35">
        <v>-8000000.0</v>
      </c>
      <c r="E97" s="35">
        <v>-8840000.0</v>
      </c>
      <c r="F97" s="35">
        <v>-1.0016E7</v>
      </c>
      <c r="H97" s="17"/>
      <c r="I97" s="25" t="s">
        <v>2</v>
      </c>
      <c r="J97" s="25" t="s">
        <v>3</v>
      </c>
      <c r="K97" s="25" t="s">
        <v>4</v>
      </c>
      <c r="L97" s="25" t="s">
        <v>5</v>
      </c>
    </row>
    <row r="98">
      <c r="A98" s="18" t="s">
        <v>16</v>
      </c>
      <c r="B98" s="23"/>
      <c r="C98" s="23">
        <f t="shared" ref="C98:F98" si="25">(C96+C97)</f>
        <v>22110000</v>
      </c>
      <c r="D98" s="23">
        <f t="shared" si="25"/>
        <v>42400000</v>
      </c>
      <c r="E98" s="23">
        <f t="shared" si="25"/>
        <v>77176000</v>
      </c>
      <c r="F98" s="23">
        <f t="shared" si="25"/>
        <v>154848000</v>
      </c>
      <c r="H98" s="25" t="s">
        <v>11</v>
      </c>
      <c r="I98" s="28">
        <v>-5460000.0</v>
      </c>
      <c r="J98" s="28">
        <v>-5460000.0</v>
      </c>
      <c r="K98" s="28">
        <v>-5460000.0</v>
      </c>
      <c r="L98" s="28">
        <v>-5460000.0</v>
      </c>
    </row>
    <row r="99">
      <c r="A99" s="25" t="s">
        <v>17</v>
      </c>
      <c r="B99" s="21"/>
      <c r="C99" s="24">
        <v>-1347500.0</v>
      </c>
      <c r="D99" s="24">
        <v>-1347500.0</v>
      </c>
      <c r="E99" s="24">
        <v>-1347500.0</v>
      </c>
      <c r="F99" s="24">
        <v>-1347500.0</v>
      </c>
      <c r="H99" s="34" t="s">
        <v>12</v>
      </c>
      <c r="I99" s="49">
        <f>(-300000*1.1)</f>
        <v>-330000</v>
      </c>
      <c r="J99" s="49">
        <f t="shared" ref="J99:L99" si="26">-(400000*1.1)</f>
        <v>-440000</v>
      </c>
      <c r="K99" s="49">
        <f t="shared" si="26"/>
        <v>-440000</v>
      </c>
      <c r="L99" s="49">
        <f t="shared" si="26"/>
        <v>-440000</v>
      </c>
    </row>
    <row r="100">
      <c r="A100" s="18" t="s">
        <v>18</v>
      </c>
      <c r="B100" s="23"/>
      <c r="C100" s="23">
        <f t="shared" ref="C100:F100" si="27">(C98+C99)</f>
        <v>20762500</v>
      </c>
      <c r="D100" s="23">
        <f t="shared" si="27"/>
        <v>41052500</v>
      </c>
      <c r="E100" s="23">
        <f t="shared" si="27"/>
        <v>75828500</v>
      </c>
      <c r="F100" s="23">
        <f t="shared" si="27"/>
        <v>153500500</v>
      </c>
      <c r="H100" s="25" t="s">
        <v>13</v>
      </c>
      <c r="I100" s="28">
        <v>-1500000.0</v>
      </c>
      <c r="J100" s="28">
        <v>-2100000.0</v>
      </c>
      <c r="K100" s="28">
        <v>-2940000.0</v>
      </c>
      <c r="L100" s="28">
        <v>-4115999.9999999995</v>
      </c>
    </row>
    <row r="101">
      <c r="A101" s="25" t="s">
        <v>19</v>
      </c>
      <c r="B101" s="21"/>
      <c r="C101" s="21">
        <f t="shared" ref="C101:F101" si="28">-(C100*0.35)</f>
        <v>-7266875</v>
      </c>
      <c r="D101" s="21">
        <f t="shared" si="28"/>
        <v>-14368375</v>
      </c>
      <c r="E101" s="21">
        <f t="shared" si="28"/>
        <v>-26539975</v>
      </c>
      <c r="F101" s="21">
        <f t="shared" si="28"/>
        <v>-53725175</v>
      </c>
      <c r="H101" s="25" t="s">
        <v>14</v>
      </c>
      <c r="I101" s="28">
        <f t="shared" ref="I101:L101" si="29">(I98+I99+I100)</f>
        <v>-7290000</v>
      </c>
      <c r="J101" s="28">
        <f t="shared" si="29"/>
        <v>-8000000</v>
      </c>
      <c r="K101" s="28">
        <f t="shared" si="29"/>
        <v>-8840000</v>
      </c>
      <c r="L101" s="28">
        <f t="shared" si="29"/>
        <v>-10016000</v>
      </c>
    </row>
    <row r="102">
      <c r="A102" s="25" t="s">
        <v>17</v>
      </c>
      <c r="B102" s="21"/>
      <c r="C102" s="24">
        <v>1347500.0</v>
      </c>
      <c r="D102" s="24">
        <v>1347500.0</v>
      </c>
      <c r="E102" s="24">
        <v>1347500.0</v>
      </c>
      <c r="F102" s="24">
        <v>1347500.0</v>
      </c>
    </row>
    <row r="103">
      <c r="A103" s="25" t="s">
        <v>20</v>
      </c>
      <c r="B103" s="24">
        <v>-1310000.0</v>
      </c>
      <c r="C103" s="21"/>
      <c r="D103" s="21"/>
      <c r="E103" s="21"/>
      <c r="F103" s="21">
        <v>1310000.0</v>
      </c>
    </row>
    <row r="104">
      <c r="A104" s="18" t="s">
        <v>21</v>
      </c>
      <c r="B104" s="23"/>
      <c r="C104" s="23">
        <f t="shared" ref="C104:F104" si="30">(C100+C101+C102+C103)</f>
        <v>14843125</v>
      </c>
      <c r="D104" s="23">
        <f t="shared" si="30"/>
        <v>28031625</v>
      </c>
      <c r="E104" s="23">
        <f t="shared" si="30"/>
        <v>50636025</v>
      </c>
      <c r="F104" s="23">
        <f t="shared" si="30"/>
        <v>102432825</v>
      </c>
    </row>
    <row r="105">
      <c r="A105" s="25" t="s">
        <v>22</v>
      </c>
      <c r="B105" s="21">
        <v>2156000.0</v>
      </c>
      <c r="C105" s="21"/>
      <c r="D105" s="21"/>
      <c r="E105" s="21"/>
      <c r="F105" s="21"/>
    </row>
    <row r="106">
      <c r="A106" s="25" t="s">
        <v>23</v>
      </c>
      <c r="B106" s="21"/>
      <c r="C106" s="21">
        <v>-248490.87320453534</v>
      </c>
      <c r="D106" s="21">
        <v>-385160.85346702975</v>
      </c>
      <c r="E106" s="21">
        <v>-596999.3228738961</v>
      </c>
      <c r="F106" s="21">
        <v>-925348.9504545389</v>
      </c>
    </row>
    <row r="107">
      <c r="A107" s="25" t="s">
        <v>24</v>
      </c>
      <c r="B107" s="21"/>
      <c r="C107" s="21">
        <v>-1185800.0</v>
      </c>
      <c r="D107" s="21">
        <v>-837291.5503306392</v>
      </c>
      <c r="E107" s="21">
        <v>-837291.5503306392</v>
      </c>
      <c r="F107" s="21">
        <v>-508941.92274999636</v>
      </c>
    </row>
    <row r="108">
      <c r="A108" s="25" t="s">
        <v>25</v>
      </c>
      <c r="B108" s="21"/>
      <c r="C108" s="21">
        <v>415030.0</v>
      </c>
      <c r="D108" s="21">
        <v>293052.04261572374</v>
      </c>
      <c r="E108" s="21">
        <v>293052.04261572374</v>
      </c>
      <c r="F108" s="21">
        <v>178129.6729624987</v>
      </c>
    </row>
    <row r="109">
      <c r="A109" s="18" t="s">
        <v>26</v>
      </c>
      <c r="B109" s="23">
        <v>-3234000.0</v>
      </c>
      <c r="C109" s="23">
        <v>-1019260.8732045353</v>
      </c>
      <c r="D109" s="23">
        <v>-929400.3611819451</v>
      </c>
      <c r="E109" s="23">
        <v>-1141238.8305888115</v>
      </c>
      <c r="F109" s="23">
        <v>-1256161.2002420367</v>
      </c>
    </row>
    <row r="110">
      <c r="A110" s="18" t="s">
        <v>27</v>
      </c>
      <c r="B110" s="23">
        <v>-3234000.0</v>
      </c>
      <c r="C110" s="23">
        <f t="shared" ref="C110:F110" si="31">(C104+C109)</f>
        <v>13823864.13</v>
      </c>
      <c r="D110" s="23">
        <f t="shared" si="31"/>
        <v>27102224.64</v>
      </c>
      <c r="E110" s="23">
        <f t="shared" si="31"/>
        <v>49494786.17</v>
      </c>
      <c r="F110" s="23">
        <f t="shared" si="31"/>
        <v>101176663.8</v>
      </c>
    </row>
    <row r="111">
      <c r="A111" s="18" t="s">
        <v>28</v>
      </c>
      <c r="B111" s="23">
        <v>-3234000.0</v>
      </c>
      <c r="C111" s="23">
        <v>8320932.804118464</v>
      </c>
      <c r="D111" s="23">
        <v>9920256.98395521</v>
      </c>
      <c r="E111" s="23">
        <v>1.0997125229019938E7</v>
      </c>
      <c r="F111" s="23">
        <v>1.3637648888889965E7</v>
      </c>
    </row>
    <row r="112">
      <c r="A112" s="4" t="s">
        <v>29</v>
      </c>
      <c r="B112" s="38">
        <f>(B111+C111+D111+E111+F111)</f>
        <v>39641963.91</v>
      </c>
      <c r="C112" s="38"/>
      <c r="D112" s="38"/>
      <c r="E112" s="38"/>
      <c r="F112" s="38"/>
    </row>
    <row r="113">
      <c r="A113" s="4" t="s">
        <v>30</v>
      </c>
      <c r="B113" s="33">
        <f>IRR(B111:F111,0.65)</f>
        <v>2.723657496</v>
      </c>
    </row>
    <row r="115">
      <c r="A115" s="4" t="s">
        <v>52</v>
      </c>
    </row>
    <row r="117">
      <c r="A117" s="18"/>
      <c r="B117" s="18" t="s">
        <v>40</v>
      </c>
      <c r="C117" s="18">
        <v>1.0</v>
      </c>
      <c r="D117" s="18">
        <v>2.0</v>
      </c>
      <c r="E117" s="18">
        <v>3.0</v>
      </c>
      <c r="F117" s="18">
        <v>4.0</v>
      </c>
    </row>
    <row r="118">
      <c r="A118" s="25" t="s">
        <v>15</v>
      </c>
      <c r="B118" s="24">
        <v>-5390000.0</v>
      </c>
      <c r="C118" s="21"/>
      <c r="D118" s="21"/>
      <c r="E118" s="21"/>
      <c r="F118" s="21"/>
    </row>
    <row r="119">
      <c r="A119" s="25" t="s">
        <v>0</v>
      </c>
      <c r="B119" s="21"/>
      <c r="C119" s="21">
        <v>2.94E7</v>
      </c>
      <c r="D119" s="21">
        <v>5.04E7</v>
      </c>
      <c r="E119" s="21">
        <v>8.6016E7</v>
      </c>
      <c r="F119" s="21">
        <v>1.64864E8</v>
      </c>
    </row>
    <row r="120">
      <c r="A120" s="25" t="s">
        <v>10</v>
      </c>
      <c r="B120" s="21"/>
      <c r="C120" s="21">
        <v>-7260000.0</v>
      </c>
      <c r="D120" s="21">
        <v>-7960000.0</v>
      </c>
      <c r="E120" s="21">
        <v>-8800000.0</v>
      </c>
      <c r="F120" s="21">
        <v>-9976000.0</v>
      </c>
    </row>
    <row r="121">
      <c r="A121" s="18" t="s">
        <v>16</v>
      </c>
      <c r="B121" s="23"/>
      <c r="C121" s="23">
        <v>2.214E7</v>
      </c>
      <c r="D121" s="23">
        <v>4.244E7</v>
      </c>
      <c r="E121" s="23">
        <v>7.7216E7</v>
      </c>
      <c r="F121" s="23">
        <v>1.54888E8</v>
      </c>
    </row>
    <row r="122">
      <c r="A122" s="25" t="s">
        <v>17</v>
      </c>
      <c r="B122" s="21"/>
      <c r="C122" s="24">
        <v>-1347500.0</v>
      </c>
      <c r="D122" s="24">
        <v>-1347500.0</v>
      </c>
      <c r="E122" s="24">
        <v>-1347500.0</v>
      </c>
      <c r="F122" s="24">
        <v>-1347500.0</v>
      </c>
    </row>
    <row r="123">
      <c r="A123" s="18" t="s">
        <v>18</v>
      </c>
      <c r="B123" s="23"/>
      <c r="C123" s="23">
        <f t="shared" ref="C123:F123" si="32">C121+C122</f>
        <v>20792500</v>
      </c>
      <c r="D123" s="23">
        <f t="shared" si="32"/>
        <v>41092500</v>
      </c>
      <c r="E123" s="23">
        <f t="shared" si="32"/>
        <v>75868500</v>
      </c>
      <c r="F123" s="23">
        <f t="shared" si="32"/>
        <v>153540500</v>
      </c>
      <c r="H123" s="29">
        <v>0.35</v>
      </c>
      <c r="I123" s="4" t="s">
        <v>19</v>
      </c>
    </row>
    <row r="124">
      <c r="A124" s="25" t="s">
        <v>19</v>
      </c>
      <c r="B124" s="21"/>
      <c r="C124" s="21">
        <f t="shared" ref="C124:F124" si="33">-C123*$H$123</f>
        <v>-7277375</v>
      </c>
      <c r="D124" s="21">
        <f t="shared" si="33"/>
        <v>-14382375</v>
      </c>
      <c r="E124" s="21">
        <f t="shared" si="33"/>
        <v>-26553975</v>
      </c>
      <c r="F124" s="21">
        <f t="shared" si="33"/>
        <v>-53739175</v>
      </c>
    </row>
    <row r="125">
      <c r="A125" s="25" t="s">
        <v>17</v>
      </c>
      <c r="B125" s="21"/>
      <c r="C125" s="24">
        <v>1347500.0</v>
      </c>
      <c r="D125" s="24">
        <v>1347500.0</v>
      </c>
      <c r="E125" s="24">
        <v>1347500.0</v>
      </c>
      <c r="F125" s="24">
        <v>1347500.0</v>
      </c>
    </row>
    <row r="126">
      <c r="A126" s="25" t="s">
        <v>20</v>
      </c>
      <c r="B126" s="24">
        <v>-1310000.0</v>
      </c>
      <c r="C126" s="21"/>
      <c r="D126" s="21"/>
      <c r="E126" s="21"/>
      <c r="F126" s="21">
        <v>1310000.0</v>
      </c>
    </row>
    <row r="127">
      <c r="A127" s="18" t="s">
        <v>21</v>
      </c>
      <c r="B127" s="23"/>
      <c r="C127" s="23">
        <f t="shared" ref="C127:E127" si="34">C123+C124+C125</f>
        <v>14862625</v>
      </c>
      <c r="D127" s="23">
        <f t="shared" si="34"/>
        <v>28057625</v>
      </c>
      <c r="E127" s="23">
        <f t="shared" si="34"/>
        <v>50662025</v>
      </c>
      <c r="F127" s="23">
        <f>F123+F124+F125+F126</f>
        <v>102458825</v>
      </c>
    </row>
    <row r="128">
      <c r="A128" s="25" t="s">
        <v>22</v>
      </c>
      <c r="B128" s="21">
        <v>2156000.0</v>
      </c>
      <c r="C128" s="21"/>
      <c r="D128" s="21"/>
      <c r="E128" s="21"/>
      <c r="F128" s="21"/>
    </row>
    <row r="129">
      <c r="A129" s="25" t="s">
        <v>23</v>
      </c>
      <c r="B129" s="21"/>
      <c r="C129" s="21">
        <v>-248490.87320453534</v>
      </c>
      <c r="D129" s="21">
        <v>-385160.85346702975</v>
      </c>
      <c r="E129" s="21">
        <v>-596999.3228738961</v>
      </c>
      <c r="F129" s="21">
        <v>-925348.9504545389</v>
      </c>
    </row>
    <row r="130">
      <c r="A130" s="25" t="s">
        <v>24</v>
      </c>
      <c r="B130" s="21"/>
      <c r="C130" s="21">
        <v>-1185800.0</v>
      </c>
      <c r="D130" s="21">
        <v>-837291.5503306392</v>
      </c>
      <c r="E130" s="21">
        <v>-837291.5503306392</v>
      </c>
      <c r="F130" s="21">
        <v>-508941.92274999636</v>
      </c>
    </row>
    <row r="131">
      <c r="A131" s="25" t="s">
        <v>25</v>
      </c>
      <c r="B131" s="21"/>
      <c r="C131" s="21">
        <v>415030.0</v>
      </c>
      <c r="D131" s="21">
        <v>293052.04261572374</v>
      </c>
      <c r="E131" s="21">
        <v>293052.04261572374</v>
      </c>
      <c r="F131" s="21">
        <v>178129.6729624987</v>
      </c>
    </row>
    <row r="132">
      <c r="A132" s="18" t="s">
        <v>26</v>
      </c>
      <c r="B132" s="23">
        <v>-3234000.0</v>
      </c>
      <c r="C132" s="23">
        <f t="shared" ref="C132:F132" si="35">SUM(C129:C131)</f>
        <v>-1019260.873</v>
      </c>
      <c r="D132" s="23">
        <f t="shared" si="35"/>
        <v>-929400.3612</v>
      </c>
      <c r="E132" s="23">
        <f t="shared" si="35"/>
        <v>-1141238.831</v>
      </c>
      <c r="F132" s="23">
        <f t="shared" si="35"/>
        <v>-1256161.2</v>
      </c>
    </row>
    <row r="133">
      <c r="A133" s="18" t="s">
        <v>27</v>
      </c>
      <c r="B133" s="23">
        <v>-3234000.0</v>
      </c>
      <c r="C133" s="23">
        <f t="shared" ref="C133:F133" si="36">C127+C132</f>
        <v>13843364.13</v>
      </c>
      <c r="D133" s="23">
        <f t="shared" si="36"/>
        <v>27128224.64</v>
      </c>
      <c r="E133" s="23">
        <f t="shared" si="36"/>
        <v>49520786.17</v>
      </c>
      <c r="F133" s="23">
        <f t="shared" si="36"/>
        <v>101202663.8</v>
      </c>
      <c r="H133" s="10">
        <v>0.65</v>
      </c>
    </row>
    <row r="134">
      <c r="A134" s="50" t="s">
        <v>28</v>
      </c>
      <c r="B134" s="51">
        <v>-3242000.0</v>
      </c>
      <c r="C134" s="52">
        <f t="shared" ref="C134:F134" si="37">C133/(1+$H$134)^C117</f>
        <v>8071932.435</v>
      </c>
      <c r="D134" s="52">
        <f t="shared" si="37"/>
        <v>9223444.19</v>
      </c>
      <c r="E134" s="52">
        <f t="shared" si="37"/>
        <v>9817369.965</v>
      </c>
      <c r="F134" s="52">
        <f t="shared" si="37"/>
        <v>11698641.88</v>
      </c>
      <c r="H134" s="9">
        <f>H133*(1+0.1)</f>
        <v>0.715</v>
      </c>
    </row>
    <row r="135">
      <c r="A135" s="4" t="s">
        <v>29</v>
      </c>
      <c r="B135" s="38">
        <f t="array" ref="B135">NPV($H$134,C133:F133)+B134</f>
        <v>35569388.47</v>
      </c>
    </row>
    <row r="136">
      <c r="A136" s="4" t="s">
        <v>30</v>
      </c>
      <c r="B136" s="33">
        <f>IRR(B134:F134,H134)</f>
        <v>2.593689377</v>
      </c>
    </row>
    <row r="138">
      <c r="A138" s="4" t="s">
        <v>53</v>
      </c>
    </row>
    <row r="140">
      <c r="A140" s="18"/>
      <c r="B140" s="18" t="s">
        <v>40</v>
      </c>
      <c r="C140" s="18">
        <v>1.0</v>
      </c>
      <c r="D140" s="18">
        <v>2.0</v>
      </c>
      <c r="E140" s="18">
        <v>3.0</v>
      </c>
      <c r="F140" s="18">
        <v>4.0</v>
      </c>
    </row>
    <row r="141">
      <c r="A141" s="25" t="s">
        <v>15</v>
      </c>
      <c r="B141" s="24">
        <v>-5390000.0</v>
      </c>
      <c r="C141" s="21"/>
      <c r="D141" s="21"/>
      <c r="E141" s="21"/>
      <c r="F141" s="21"/>
    </row>
    <row r="142">
      <c r="A142" s="25" t="s">
        <v>0</v>
      </c>
      <c r="B142" s="21"/>
      <c r="C142" s="21">
        <v>2.94E7</v>
      </c>
      <c r="D142" s="21">
        <v>5.04E7</v>
      </c>
      <c r="E142" s="21">
        <v>8.6016E7</v>
      </c>
      <c r="F142" s="21">
        <v>1.64864E8</v>
      </c>
    </row>
    <row r="143">
      <c r="A143" s="25" t="s">
        <v>10</v>
      </c>
      <c r="B143" s="21"/>
      <c r="C143" s="21">
        <v>-7260000.0</v>
      </c>
      <c r="D143" s="21">
        <v>-7960000.0</v>
      </c>
      <c r="E143" s="21">
        <v>-8800000.0</v>
      </c>
      <c r="F143" s="21">
        <v>-9976000.0</v>
      </c>
    </row>
    <row r="144">
      <c r="A144" s="18" t="s">
        <v>16</v>
      </c>
      <c r="B144" s="23"/>
      <c r="C144" s="23">
        <f t="shared" ref="C144:F144" si="38">SUM(C142:C143)</f>
        <v>22140000</v>
      </c>
      <c r="D144" s="23">
        <f t="shared" si="38"/>
        <v>42440000</v>
      </c>
      <c r="E144" s="23">
        <f t="shared" si="38"/>
        <v>77216000</v>
      </c>
      <c r="F144" s="23">
        <f t="shared" si="38"/>
        <v>154888000</v>
      </c>
      <c r="H144" s="4" t="s">
        <v>54</v>
      </c>
    </row>
    <row r="145">
      <c r="A145" s="25" t="s">
        <v>17</v>
      </c>
      <c r="B145" s="21"/>
      <c r="C145" s="24">
        <v>-1347500.0</v>
      </c>
      <c r="D145" s="24">
        <v>-1347500.0</v>
      </c>
      <c r="E145" s="24">
        <v>-1347500.0</v>
      </c>
      <c r="F145" s="24">
        <v>-1347500.0</v>
      </c>
      <c r="H145" s="53" t="s">
        <v>29</v>
      </c>
      <c r="I145" s="53" t="s">
        <v>0</v>
      </c>
      <c r="J145" s="53" t="s">
        <v>55</v>
      </c>
      <c r="K145" s="53" t="s">
        <v>56</v>
      </c>
      <c r="L145" s="53" t="s">
        <v>57</v>
      </c>
    </row>
    <row r="146">
      <c r="A146" s="18" t="s">
        <v>18</v>
      </c>
      <c r="B146" s="23"/>
      <c r="C146" s="23">
        <f t="shared" ref="C146:F146" si="39">C144+C145</f>
        <v>20792500</v>
      </c>
      <c r="D146" s="23">
        <f t="shared" si="39"/>
        <v>41092500</v>
      </c>
      <c r="E146" s="23">
        <f t="shared" si="39"/>
        <v>75868500</v>
      </c>
      <c r="F146" s="23">
        <f t="shared" si="39"/>
        <v>153540500</v>
      </c>
      <c r="G146" s="29"/>
      <c r="H146" s="54">
        <v>0.1</v>
      </c>
      <c r="I146" s="21">
        <f>B181</f>
        <v>44850067.86</v>
      </c>
      <c r="J146" s="21">
        <f>B42</f>
        <v>39610299.57</v>
      </c>
      <c r="K146" s="21">
        <f>B112</f>
        <v>39641963.91</v>
      </c>
      <c r="L146" s="21">
        <f>B135</f>
        <v>35569388.47</v>
      </c>
    </row>
    <row r="147">
      <c r="A147" s="25" t="s">
        <v>19</v>
      </c>
      <c r="B147" s="21"/>
      <c r="C147" s="21">
        <v>-7371699.999999999</v>
      </c>
      <c r="D147" s="21">
        <v>-1.44767E7</v>
      </c>
      <c r="E147" s="21">
        <v>-2.66483E7</v>
      </c>
      <c r="F147" s="21">
        <v>-5.38335E7</v>
      </c>
      <c r="H147" s="53" t="s">
        <v>58</v>
      </c>
      <c r="I147" s="23">
        <f>'Hoja 1'!$B$35</f>
        <v>39798164.83</v>
      </c>
      <c r="J147" s="23">
        <f>'Hoja 1'!$B$35</f>
        <v>39798164.83</v>
      </c>
      <c r="K147" s="23">
        <f>'Hoja 1'!$B$35</f>
        <v>39798164.83</v>
      </c>
      <c r="L147" s="23">
        <f>'Hoja 1'!$B$35</f>
        <v>39798164.83</v>
      </c>
    </row>
    <row r="148">
      <c r="A148" s="25" t="s">
        <v>17</v>
      </c>
      <c r="B148" s="21"/>
      <c r="C148" s="24">
        <v>1347500.0</v>
      </c>
      <c r="D148" s="24">
        <v>1347500.0</v>
      </c>
      <c r="E148" s="24">
        <v>1347500.0</v>
      </c>
      <c r="F148" s="24">
        <v>1347500.0</v>
      </c>
      <c r="H148" s="54">
        <v>-0.1</v>
      </c>
      <c r="I148" s="21">
        <f>B204</f>
        <v>34746261.79</v>
      </c>
      <c r="J148" s="21">
        <f>B63</f>
        <v>39986030.08</v>
      </c>
      <c r="K148" s="21">
        <f>B89</f>
        <v>39828828.78</v>
      </c>
      <c r="L148" s="21">
        <f>B158</f>
        <v>44634540.36</v>
      </c>
    </row>
    <row r="149">
      <c r="A149" s="25" t="s">
        <v>20</v>
      </c>
      <c r="B149" s="24">
        <v>-1310000.0</v>
      </c>
      <c r="C149" s="21"/>
      <c r="D149" s="21"/>
      <c r="E149" s="21"/>
      <c r="F149" s="21">
        <v>1310000.0</v>
      </c>
    </row>
    <row r="150">
      <c r="A150" s="18" t="s">
        <v>21</v>
      </c>
      <c r="B150" s="23"/>
      <c r="C150" s="23">
        <f t="shared" ref="C150:F150" si="40">SUM(C146:C149)</f>
        <v>14768300</v>
      </c>
      <c r="D150" s="23">
        <f t="shared" si="40"/>
        <v>27963300</v>
      </c>
      <c r="E150" s="23">
        <f t="shared" si="40"/>
        <v>50567700</v>
      </c>
      <c r="F150" s="23">
        <f t="shared" si="40"/>
        <v>102364500</v>
      </c>
      <c r="H150" s="53" t="s">
        <v>30</v>
      </c>
      <c r="I150" s="53" t="s">
        <v>0</v>
      </c>
      <c r="J150" s="53" t="s">
        <v>55</v>
      </c>
      <c r="K150" s="53" t="s">
        <v>56</v>
      </c>
      <c r="L150" s="53" t="s">
        <v>57</v>
      </c>
    </row>
    <row r="151">
      <c r="A151" s="25" t="s">
        <v>22</v>
      </c>
      <c r="B151" s="21">
        <v>2156000.0</v>
      </c>
      <c r="C151" s="21"/>
      <c r="D151" s="21"/>
      <c r="E151" s="21"/>
      <c r="F151" s="21"/>
      <c r="H151" s="54">
        <v>0.1</v>
      </c>
      <c r="I151" s="55">
        <f>B182</f>
        <v>3.091277732</v>
      </c>
      <c r="J151" s="56">
        <f>B43</f>
        <v>2.725135284</v>
      </c>
      <c r="K151" s="55">
        <f>B113</f>
        <v>2.723657496</v>
      </c>
      <c r="L151" s="55">
        <f>B136</f>
        <v>2.593689377</v>
      </c>
    </row>
    <row r="152">
      <c r="A152" s="25" t="s">
        <v>23</v>
      </c>
      <c r="B152" s="21"/>
      <c r="C152" s="21">
        <v>-248490.87320453534</v>
      </c>
      <c r="D152" s="21">
        <v>-385160.85346702975</v>
      </c>
      <c r="E152" s="21">
        <v>-596999.3228738961</v>
      </c>
      <c r="F152" s="21">
        <v>-925348.9504545389</v>
      </c>
      <c r="H152" s="53" t="s">
        <v>58</v>
      </c>
      <c r="I152" s="57">
        <f>'Hoja 1'!$B$36</f>
        <v>2.741785442</v>
      </c>
      <c r="J152" s="57">
        <f>'Hoja 1'!$B$36</f>
        <v>2.741785442</v>
      </c>
      <c r="K152" s="57">
        <f>'Hoja 1'!$B$36</f>
        <v>2.741785442</v>
      </c>
      <c r="L152" s="57">
        <f>'Hoja 1'!$B$36</f>
        <v>2.741785442</v>
      </c>
    </row>
    <row r="153">
      <c r="A153" s="25" t="s">
        <v>24</v>
      </c>
      <c r="B153" s="21"/>
      <c r="C153" s="21">
        <v>-1185800.0</v>
      </c>
      <c r="D153" s="21">
        <v>-837291.5503306392</v>
      </c>
      <c r="E153" s="21">
        <v>-837291.5503306392</v>
      </c>
      <c r="F153" s="21">
        <v>-508941.92274999636</v>
      </c>
      <c r="H153" s="53" t="s">
        <v>59</v>
      </c>
      <c r="I153" s="55">
        <f>B205</f>
        <v>2.393604423</v>
      </c>
      <c r="J153" s="55">
        <f>B64</f>
        <v>2.758450757</v>
      </c>
      <c r="K153" s="55">
        <f>B90</f>
        <v>2.745031562</v>
      </c>
      <c r="L153" s="55">
        <f>B159</f>
        <v>2.879736515</v>
      </c>
    </row>
    <row r="154">
      <c r="A154" s="25" t="s">
        <v>25</v>
      </c>
      <c r="B154" s="21"/>
      <c r="C154" s="21">
        <v>415030.0</v>
      </c>
      <c r="D154" s="21">
        <v>293052.04261572374</v>
      </c>
      <c r="E154" s="21">
        <v>293052.04261572374</v>
      </c>
      <c r="F154" s="21">
        <v>178129.6729624987</v>
      </c>
    </row>
    <row r="155">
      <c r="A155" s="18" t="s">
        <v>26</v>
      </c>
      <c r="B155" s="23">
        <v>-3234000.0</v>
      </c>
      <c r="C155" s="23">
        <f t="shared" ref="C155:F155" si="41">SUM(C152:C154)</f>
        <v>-1019260.873</v>
      </c>
      <c r="D155" s="23">
        <f t="shared" si="41"/>
        <v>-929400.3612</v>
      </c>
      <c r="E155" s="23">
        <f t="shared" si="41"/>
        <v>-1141238.831</v>
      </c>
      <c r="F155" s="23">
        <f t="shared" si="41"/>
        <v>-1256161.2</v>
      </c>
    </row>
    <row r="156">
      <c r="A156" s="18" t="s">
        <v>27</v>
      </c>
      <c r="B156" s="23">
        <v>-3234000.0</v>
      </c>
      <c r="C156" s="23">
        <f t="shared" ref="C156:F156" si="42">C150+C155</f>
        <v>13749039.13</v>
      </c>
      <c r="D156" s="23">
        <f t="shared" si="42"/>
        <v>27033899.64</v>
      </c>
      <c r="E156" s="23">
        <f t="shared" si="42"/>
        <v>49426461.17</v>
      </c>
      <c r="F156" s="23">
        <f t="shared" si="42"/>
        <v>101108338.8</v>
      </c>
    </row>
    <row r="157">
      <c r="A157" s="50" t="s">
        <v>28</v>
      </c>
      <c r="B157" s="52">
        <f>B156</f>
        <v>-3234000</v>
      </c>
      <c r="C157" s="52">
        <f t="shared" ref="C157:F157" si="43">C156/(1+$H$158)^C140</f>
        <v>8674472.635</v>
      </c>
      <c r="D157" s="52">
        <f t="shared" si="43"/>
        <v>10760938.86</v>
      </c>
      <c r="E157" s="52">
        <f t="shared" si="43"/>
        <v>12412856</v>
      </c>
      <c r="F157" s="52">
        <f t="shared" si="43"/>
        <v>16020272.86</v>
      </c>
      <c r="H157" s="10">
        <v>0.65</v>
      </c>
    </row>
    <row r="158">
      <c r="A158" s="4" t="s">
        <v>29</v>
      </c>
      <c r="B158" s="38">
        <f t="array" ref="B158">NPV($H$158,C156:F156)+B156</f>
        <v>44634540.36</v>
      </c>
      <c r="H158" s="9">
        <f>$H$157*(1-0.1)</f>
        <v>0.585</v>
      </c>
    </row>
    <row r="159">
      <c r="A159" s="4" t="s">
        <v>30</v>
      </c>
      <c r="B159" s="33">
        <f>IRR(B157:F157)</f>
        <v>2.879736515</v>
      </c>
    </row>
    <row r="161">
      <c r="A161" s="4" t="s">
        <v>60</v>
      </c>
    </row>
    <row r="163">
      <c r="A163" s="25"/>
      <c r="B163" s="18" t="s">
        <v>40</v>
      </c>
      <c r="C163" s="18">
        <v>1.0</v>
      </c>
      <c r="D163" s="18">
        <v>2.0</v>
      </c>
      <c r="E163" s="18">
        <v>3.0</v>
      </c>
      <c r="F163" s="18">
        <v>4.0</v>
      </c>
      <c r="H163" s="58">
        <v>0.1</v>
      </c>
      <c r="I163" s="25">
        <v>1.0</v>
      </c>
      <c r="J163" s="25">
        <v>2.0</v>
      </c>
      <c r="K163" s="25">
        <v>3.0</v>
      </c>
      <c r="L163" s="25">
        <v>4.0</v>
      </c>
    </row>
    <row r="164">
      <c r="A164" s="25" t="s">
        <v>15</v>
      </c>
      <c r="B164" s="24">
        <v>-5390000.0</v>
      </c>
      <c r="C164" s="21"/>
      <c r="D164" s="21"/>
      <c r="E164" s="21"/>
      <c r="F164" s="21"/>
      <c r="H164" s="25" t="s">
        <v>0</v>
      </c>
      <c r="I164" s="25">
        <v>2.94E7</v>
      </c>
      <c r="J164" s="25">
        <v>5.04E7</v>
      </c>
      <c r="K164" s="25">
        <v>8.6016E7</v>
      </c>
      <c r="L164" s="25">
        <v>1.64864E8</v>
      </c>
    </row>
    <row r="165">
      <c r="A165" s="34" t="s">
        <v>0</v>
      </c>
      <c r="B165" s="35"/>
      <c r="C165" s="39">
        <f t="shared" ref="C165:F165" si="44">I165</f>
        <v>32340000</v>
      </c>
      <c r="D165" s="39">
        <f t="shared" si="44"/>
        <v>55440000</v>
      </c>
      <c r="E165" s="39">
        <f t="shared" si="44"/>
        <v>94617600</v>
      </c>
      <c r="F165" s="39">
        <f t="shared" si="44"/>
        <v>181350400</v>
      </c>
      <c r="H165" s="25" t="s">
        <v>61</v>
      </c>
      <c r="I165" s="17">
        <f t="shared" ref="I165:L165" si="45">I164*(1+$H$163)</f>
        <v>32340000</v>
      </c>
      <c r="J165" s="17">
        <f t="shared" si="45"/>
        <v>55440000</v>
      </c>
      <c r="K165" s="17">
        <f t="shared" si="45"/>
        <v>94617600</v>
      </c>
      <c r="L165" s="17">
        <f t="shared" si="45"/>
        <v>181350400</v>
      </c>
    </row>
    <row r="166">
      <c r="A166" s="25" t="s">
        <v>10</v>
      </c>
      <c r="B166" s="21"/>
      <c r="C166" s="21">
        <v>-7260000.0</v>
      </c>
      <c r="D166" s="21">
        <v>-7960000.0</v>
      </c>
      <c r="E166" s="21">
        <v>-8800000.0</v>
      </c>
      <c r="F166" s="21">
        <v>-9976000.0</v>
      </c>
    </row>
    <row r="167">
      <c r="A167" s="18" t="s">
        <v>16</v>
      </c>
      <c r="B167" s="23"/>
      <c r="C167" s="23">
        <f t="shared" ref="C167:F167" si="46">SUM(C165:C166)</f>
        <v>25080000</v>
      </c>
      <c r="D167" s="23">
        <f t="shared" si="46"/>
        <v>47480000</v>
      </c>
      <c r="E167" s="23">
        <f t="shared" si="46"/>
        <v>85817600</v>
      </c>
      <c r="F167" s="23">
        <f t="shared" si="46"/>
        <v>171374400</v>
      </c>
      <c r="H167" s="4" t="s">
        <v>62</v>
      </c>
      <c r="I167" s="15">
        <f t="shared" ref="I167:L167" si="47">I164*(1-$H$163)</f>
        <v>26460000</v>
      </c>
      <c r="J167" s="15">
        <f t="shared" si="47"/>
        <v>45360000</v>
      </c>
      <c r="K167" s="15">
        <f t="shared" si="47"/>
        <v>77414400</v>
      </c>
      <c r="L167" s="15">
        <f t="shared" si="47"/>
        <v>148377600</v>
      </c>
    </row>
    <row r="168">
      <c r="A168" s="25" t="s">
        <v>17</v>
      </c>
      <c r="B168" s="21"/>
      <c r="C168" s="24">
        <v>-1347500.0</v>
      </c>
      <c r="D168" s="24">
        <v>-1347500.0</v>
      </c>
      <c r="E168" s="24">
        <v>-1347500.0</v>
      </c>
      <c r="F168" s="24">
        <v>-1347500.0</v>
      </c>
    </row>
    <row r="169">
      <c r="A169" s="18" t="s">
        <v>18</v>
      </c>
      <c r="B169" s="23"/>
      <c r="C169" s="23">
        <f t="shared" ref="C169:F169" si="48">C167+C168</f>
        <v>23732500</v>
      </c>
      <c r="D169" s="23">
        <f t="shared" si="48"/>
        <v>46132500</v>
      </c>
      <c r="E169" s="23">
        <f t="shared" si="48"/>
        <v>84470100</v>
      </c>
      <c r="F169" s="23">
        <f t="shared" si="48"/>
        <v>170026900</v>
      </c>
    </row>
    <row r="170">
      <c r="A170" s="25" t="s">
        <v>19</v>
      </c>
      <c r="B170" s="21"/>
      <c r="C170" s="21">
        <f t="shared" ref="C170:F170" si="49">-(C169*$H$170)</f>
        <v>-8306375</v>
      </c>
      <c r="D170" s="21">
        <f t="shared" si="49"/>
        <v>-16146375</v>
      </c>
      <c r="E170" s="21">
        <f t="shared" si="49"/>
        <v>-29564535</v>
      </c>
      <c r="F170" s="21">
        <f t="shared" si="49"/>
        <v>-59509415</v>
      </c>
      <c r="H170" s="29">
        <v>0.35</v>
      </c>
    </row>
    <row r="171">
      <c r="A171" s="25" t="s">
        <v>17</v>
      </c>
      <c r="B171" s="21"/>
      <c r="C171" s="24">
        <v>1347500.0</v>
      </c>
      <c r="D171" s="24">
        <v>1347500.0</v>
      </c>
      <c r="E171" s="24">
        <v>1347500.0</v>
      </c>
      <c r="F171" s="24">
        <v>1347500.0</v>
      </c>
    </row>
    <row r="172">
      <c r="A172" s="25" t="s">
        <v>20</v>
      </c>
      <c r="B172" s="24">
        <v>-1310000.0</v>
      </c>
      <c r="C172" s="21"/>
      <c r="D172" s="21"/>
      <c r="E172" s="21"/>
      <c r="F172" s="21">
        <v>1310000.0</v>
      </c>
    </row>
    <row r="173">
      <c r="A173" s="18" t="s">
        <v>21</v>
      </c>
      <c r="B173" s="23"/>
      <c r="C173" s="23">
        <f t="shared" ref="C173:F173" si="50">SUM(C169:C172)</f>
        <v>16773625</v>
      </c>
      <c r="D173" s="23">
        <f t="shared" si="50"/>
        <v>31333625</v>
      </c>
      <c r="E173" s="23">
        <f t="shared" si="50"/>
        <v>56253065</v>
      </c>
      <c r="F173" s="23">
        <f t="shared" si="50"/>
        <v>113174985</v>
      </c>
    </row>
    <row r="174">
      <c r="A174" s="25" t="s">
        <v>22</v>
      </c>
      <c r="B174" s="21">
        <v>2156000.0</v>
      </c>
      <c r="C174" s="21"/>
      <c r="D174" s="21"/>
      <c r="E174" s="21"/>
      <c r="F174" s="21"/>
    </row>
    <row r="175">
      <c r="A175" s="25" t="s">
        <v>23</v>
      </c>
      <c r="B175" s="21"/>
      <c r="C175" s="21">
        <v>-248490.87320453534</v>
      </c>
      <c r="D175" s="21">
        <v>-385160.85346702975</v>
      </c>
      <c r="E175" s="21">
        <v>-596999.3228738961</v>
      </c>
      <c r="F175" s="21">
        <v>-925348.9504545389</v>
      </c>
    </row>
    <row r="176">
      <c r="A176" s="25" t="s">
        <v>24</v>
      </c>
      <c r="B176" s="21"/>
      <c r="C176" s="21">
        <v>-1185800.0</v>
      </c>
      <c r="D176" s="21">
        <v>-837291.5503306392</v>
      </c>
      <c r="E176" s="21">
        <v>-837291.5503306392</v>
      </c>
      <c r="F176" s="21">
        <v>-508941.92274999636</v>
      </c>
    </row>
    <row r="177">
      <c r="A177" s="25" t="s">
        <v>25</v>
      </c>
      <c r="B177" s="21"/>
      <c r="C177" s="21">
        <v>415030.0</v>
      </c>
      <c r="D177" s="21">
        <v>293052.04261572374</v>
      </c>
      <c r="E177" s="21">
        <v>293052.04261572374</v>
      </c>
      <c r="F177" s="21">
        <v>178129.6729624987</v>
      </c>
    </row>
    <row r="178">
      <c r="A178" s="18" t="s">
        <v>26</v>
      </c>
      <c r="B178" s="23">
        <v>-3234000.0</v>
      </c>
      <c r="C178" s="23">
        <f t="shared" ref="C178:F178" si="51">SUM(C175:C177)</f>
        <v>-1019260.873</v>
      </c>
      <c r="D178" s="23">
        <f t="shared" si="51"/>
        <v>-929400.3612</v>
      </c>
      <c r="E178" s="23">
        <f t="shared" si="51"/>
        <v>-1141238.831</v>
      </c>
      <c r="F178" s="23">
        <f t="shared" si="51"/>
        <v>-1256161.2</v>
      </c>
    </row>
    <row r="179">
      <c r="A179" s="18" t="s">
        <v>27</v>
      </c>
      <c r="B179" s="23">
        <v>-3234000.0</v>
      </c>
      <c r="C179" s="23">
        <f t="shared" ref="C179:F179" si="52">C173+C178</f>
        <v>15754364.13</v>
      </c>
      <c r="D179" s="23">
        <f t="shared" si="52"/>
        <v>30404224.64</v>
      </c>
      <c r="E179" s="23">
        <f t="shared" si="52"/>
        <v>55111826.17</v>
      </c>
      <c r="F179" s="23">
        <f t="shared" si="52"/>
        <v>111918823.8</v>
      </c>
    </row>
    <row r="180">
      <c r="A180" s="18" t="s">
        <v>28</v>
      </c>
      <c r="B180" s="23">
        <v>-3234000.0</v>
      </c>
      <c r="C180" s="23">
        <f t="shared" ref="C180:F180" si="53">C179/(1+$H$181)^C163</f>
        <v>9548099.471</v>
      </c>
      <c r="D180" s="23">
        <f t="shared" si="53"/>
        <v>11167759.28</v>
      </c>
      <c r="E180" s="23">
        <f t="shared" si="53"/>
        <v>12268542.43</v>
      </c>
      <c r="F180" s="23">
        <f t="shared" si="53"/>
        <v>15099666.68</v>
      </c>
    </row>
    <row r="181">
      <c r="A181" s="4" t="s">
        <v>29</v>
      </c>
      <c r="B181" s="38">
        <f>SUM(B180:F180)</f>
        <v>44850067.86</v>
      </c>
      <c r="C181" s="38"/>
      <c r="D181" s="38"/>
      <c r="E181" s="38"/>
      <c r="F181" s="38"/>
      <c r="H181" s="29">
        <v>0.65</v>
      </c>
    </row>
    <row r="182">
      <c r="A182" s="4" t="s">
        <v>30</v>
      </c>
      <c r="B182" s="33">
        <f>IRR(B180:F180)</f>
        <v>3.091277732</v>
      </c>
    </row>
    <row r="184">
      <c r="A184" s="4" t="s">
        <v>63</v>
      </c>
    </row>
    <row r="186">
      <c r="A186" s="25"/>
      <c r="B186" s="18" t="s">
        <v>40</v>
      </c>
      <c r="C186" s="18">
        <v>1.0</v>
      </c>
      <c r="D186" s="18">
        <v>2.0</v>
      </c>
      <c r="E186" s="18">
        <v>3.0</v>
      </c>
      <c r="F186" s="18">
        <v>4.0</v>
      </c>
    </row>
    <row r="187">
      <c r="A187" s="25" t="s">
        <v>15</v>
      </c>
      <c r="B187" s="24">
        <v>-5390000.0</v>
      </c>
      <c r="C187" s="21"/>
      <c r="D187" s="21"/>
      <c r="E187" s="21"/>
      <c r="F187" s="21"/>
    </row>
    <row r="188">
      <c r="A188" s="34" t="s">
        <v>0</v>
      </c>
      <c r="B188" s="35"/>
      <c r="C188" s="39">
        <f t="shared" ref="C188:F188" si="54">(I167)</f>
        <v>26460000</v>
      </c>
      <c r="D188" s="39">
        <f t="shared" si="54"/>
        <v>45360000</v>
      </c>
      <c r="E188" s="39">
        <f t="shared" si="54"/>
        <v>77414400</v>
      </c>
      <c r="F188" s="39">
        <f t="shared" si="54"/>
        <v>148377600</v>
      </c>
    </row>
    <row r="189">
      <c r="A189" s="25" t="s">
        <v>10</v>
      </c>
      <c r="B189" s="21"/>
      <c r="C189" s="21">
        <v>-7260000.0</v>
      </c>
      <c r="D189" s="21">
        <v>-7960000.0</v>
      </c>
      <c r="E189" s="21">
        <v>-8800000.0</v>
      </c>
      <c r="F189" s="21">
        <v>-9976000.0</v>
      </c>
    </row>
    <row r="190">
      <c r="A190" s="18" t="s">
        <v>16</v>
      </c>
      <c r="B190" s="23"/>
      <c r="C190" s="23">
        <f t="shared" ref="C190:F190" si="55">SUM(C188:C189)</f>
        <v>19200000</v>
      </c>
      <c r="D190" s="23">
        <f t="shared" si="55"/>
        <v>37400000</v>
      </c>
      <c r="E190" s="23">
        <f t="shared" si="55"/>
        <v>68614400</v>
      </c>
      <c r="F190" s="23">
        <f t="shared" si="55"/>
        <v>138401600</v>
      </c>
    </row>
    <row r="191">
      <c r="A191" s="25" t="s">
        <v>17</v>
      </c>
      <c r="B191" s="21"/>
      <c r="C191" s="24">
        <v>-1347500.0</v>
      </c>
      <c r="D191" s="24">
        <v>-1347500.0</v>
      </c>
      <c r="E191" s="24">
        <v>-1347500.0</v>
      </c>
      <c r="F191" s="24">
        <v>-1347500.0</v>
      </c>
    </row>
    <row r="192">
      <c r="A192" s="18" t="s">
        <v>18</v>
      </c>
      <c r="B192" s="23"/>
      <c r="C192" s="23">
        <f t="shared" ref="C192:F192" si="56">C190+C191</f>
        <v>17852500</v>
      </c>
      <c r="D192" s="23">
        <f t="shared" si="56"/>
        <v>36052500</v>
      </c>
      <c r="E192" s="23">
        <f t="shared" si="56"/>
        <v>67266900</v>
      </c>
      <c r="F192" s="23">
        <f t="shared" si="56"/>
        <v>137054100</v>
      </c>
    </row>
    <row r="193">
      <c r="A193" s="25" t="s">
        <v>19</v>
      </c>
      <c r="B193" s="21"/>
      <c r="C193" s="21">
        <f t="shared" ref="C193:F193" si="57">-(C192*$H$170)</f>
        <v>-6248375</v>
      </c>
      <c r="D193" s="21">
        <f t="shared" si="57"/>
        <v>-12618375</v>
      </c>
      <c r="E193" s="21">
        <f t="shared" si="57"/>
        <v>-23543415</v>
      </c>
      <c r="F193" s="21">
        <f t="shared" si="57"/>
        <v>-47968935</v>
      </c>
    </row>
    <row r="194">
      <c r="A194" s="25" t="s">
        <v>17</v>
      </c>
      <c r="B194" s="21"/>
      <c r="C194" s="24">
        <v>1347500.0</v>
      </c>
      <c r="D194" s="24">
        <v>1347500.0</v>
      </c>
      <c r="E194" s="24">
        <v>1347500.0</v>
      </c>
      <c r="F194" s="24">
        <v>1347500.0</v>
      </c>
    </row>
    <row r="195">
      <c r="A195" s="25" t="s">
        <v>20</v>
      </c>
      <c r="B195" s="24">
        <v>-1310000.0</v>
      </c>
      <c r="C195" s="21"/>
      <c r="D195" s="21"/>
      <c r="E195" s="21"/>
      <c r="F195" s="21">
        <v>1310000.0</v>
      </c>
    </row>
    <row r="196">
      <c r="A196" s="18" t="s">
        <v>21</v>
      </c>
      <c r="B196" s="23"/>
      <c r="C196" s="23">
        <f t="shared" ref="C196:F196" si="58">SUM(C192:C195)</f>
        <v>12951625</v>
      </c>
      <c r="D196" s="23">
        <f t="shared" si="58"/>
        <v>24781625</v>
      </c>
      <c r="E196" s="23">
        <f t="shared" si="58"/>
        <v>45070985</v>
      </c>
      <c r="F196" s="23">
        <f t="shared" si="58"/>
        <v>91742665</v>
      </c>
    </row>
    <row r="197">
      <c r="A197" s="25" t="s">
        <v>22</v>
      </c>
      <c r="B197" s="21">
        <v>2156000.0</v>
      </c>
      <c r="C197" s="21"/>
      <c r="D197" s="21"/>
      <c r="E197" s="21"/>
      <c r="F197" s="21"/>
    </row>
    <row r="198">
      <c r="A198" s="25" t="s">
        <v>23</v>
      </c>
      <c r="B198" s="21"/>
      <c r="C198" s="21">
        <v>-248490.87320453534</v>
      </c>
      <c r="D198" s="21">
        <v>-385160.85346702975</v>
      </c>
      <c r="E198" s="21">
        <v>-596999.3228738961</v>
      </c>
      <c r="F198" s="21">
        <v>-925348.9504545389</v>
      </c>
    </row>
    <row r="199">
      <c r="A199" s="25" t="s">
        <v>24</v>
      </c>
      <c r="B199" s="21"/>
      <c r="C199" s="21">
        <v>-1185800.0</v>
      </c>
      <c r="D199" s="21">
        <v>-837291.5503306392</v>
      </c>
      <c r="E199" s="21">
        <v>-837291.5503306392</v>
      </c>
      <c r="F199" s="21">
        <v>-508941.92274999636</v>
      </c>
    </row>
    <row r="200">
      <c r="A200" s="25" t="s">
        <v>25</v>
      </c>
      <c r="B200" s="21"/>
      <c r="C200" s="21">
        <v>415030.0</v>
      </c>
      <c r="D200" s="21">
        <v>293052.04261572374</v>
      </c>
      <c r="E200" s="21">
        <v>293052.04261572374</v>
      </c>
      <c r="F200" s="21">
        <v>178129.6729624987</v>
      </c>
    </row>
    <row r="201">
      <c r="A201" s="18" t="s">
        <v>26</v>
      </c>
      <c r="B201" s="23">
        <v>-3234000.0</v>
      </c>
      <c r="C201" s="23">
        <f t="shared" ref="C201:F201" si="59">SUM(C198:C200)</f>
        <v>-1019260.873</v>
      </c>
      <c r="D201" s="23">
        <f t="shared" si="59"/>
        <v>-929400.3612</v>
      </c>
      <c r="E201" s="23">
        <f t="shared" si="59"/>
        <v>-1141238.831</v>
      </c>
      <c r="F201" s="23">
        <f t="shared" si="59"/>
        <v>-1256161.2</v>
      </c>
    </row>
    <row r="202">
      <c r="A202" s="18" t="s">
        <v>27</v>
      </c>
      <c r="B202" s="23">
        <v>-3234000.0</v>
      </c>
      <c r="C202" s="23">
        <f t="shared" ref="C202:F202" si="60">C196+C201</f>
        <v>11932364.13</v>
      </c>
      <c r="D202" s="23">
        <f t="shared" si="60"/>
        <v>23852224.64</v>
      </c>
      <c r="E202" s="23">
        <f t="shared" si="60"/>
        <v>43929746.17</v>
      </c>
      <c r="F202" s="23">
        <f t="shared" si="60"/>
        <v>90486503.8</v>
      </c>
    </row>
    <row r="203">
      <c r="A203" s="18" t="s">
        <v>28</v>
      </c>
      <c r="B203" s="23">
        <v>-3234000.0</v>
      </c>
      <c r="C203" s="23">
        <f t="shared" ref="C203:F203" si="61">C202/(1+$H$181)^C186</f>
        <v>7231735.834</v>
      </c>
      <c r="D203" s="23">
        <f t="shared" si="61"/>
        <v>8761147.709</v>
      </c>
      <c r="E203" s="23">
        <f t="shared" si="61"/>
        <v>9779279.555</v>
      </c>
      <c r="F203" s="23">
        <f t="shared" si="61"/>
        <v>12208098.69</v>
      </c>
    </row>
    <row r="204">
      <c r="A204" s="4" t="s">
        <v>29</v>
      </c>
      <c r="B204" s="38">
        <f>SUM(B203:F203)</f>
        <v>34746261.79</v>
      </c>
      <c r="C204" s="38"/>
      <c r="D204" s="38"/>
      <c r="E204" s="38"/>
      <c r="F204" s="38"/>
    </row>
    <row r="205">
      <c r="A205" s="4" t="s">
        <v>30</v>
      </c>
      <c r="B205" s="33">
        <f>IRR(B203:F203)</f>
        <v>2.393604423</v>
      </c>
    </row>
  </sheetData>
  <mergeCells count="2">
    <mergeCell ref="I27:M27"/>
    <mergeCell ref="I34:M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5" t="s">
        <v>64</v>
      </c>
      <c r="B2" s="24">
        <v>17000.0</v>
      </c>
    </row>
    <row r="3">
      <c r="A3" s="25" t="s">
        <v>65</v>
      </c>
      <c r="B3" s="59">
        <v>1500.0</v>
      </c>
    </row>
    <row r="4">
      <c r="A4" s="25" t="s">
        <v>66</v>
      </c>
      <c r="B4" s="21">
        <f>B2*B3</f>
        <v>25500000</v>
      </c>
    </row>
    <row r="6">
      <c r="A6" s="25" t="s">
        <v>67</v>
      </c>
      <c r="B6" s="25">
        <v>20.0</v>
      </c>
      <c r="C6" s="60" t="s">
        <v>68</v>
      </c>
      <c r="D6" s="17">
        <f>B6+B7-B8</f>
        <v>19</v>
      </c>
    </row>
    <row r="7">
      <c r="A7" s="25" t="s">
        <v>69</v>
      </c>
      <c r="B7" s="25">
        <v>14.0</v>
      </c>
      <c r="D7" s="4">
        <v>360.0</v>
      </c>
      <c r="E7" s="4" t="s">
        <v>70</v>
      </c>
    </row>
    <row r="8">
      <c r="A8" s="25" t="s">
        <v>71</v>
      </c>
      <c r="B8" s="25">
        <v>15.0</v>
      </c>
    </row>
    <row r="10">
      <c r="A10" s="25" t="s">
        <v>72</v>
      </c>
      <c r="B10" s="17"/>
      <c r="C10" s="21">
        <f>B4*(D6/D7)</f>
        <v>1345833.333</v>
      </c>
    </row>
  </sheetData>
  <drawing r:id="rId1"/>
</worksheet>
</file>